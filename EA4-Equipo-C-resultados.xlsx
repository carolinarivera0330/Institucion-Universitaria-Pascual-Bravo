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B3F5DBE-B36E-4299-A6DC-C97496EA8ED0}" xr6:coauthVersionLast="47" xr6:coauthVersionMax="47" xr10:uidLastSave="{00000000-0000-0000-0000-000000000000}"/>
  <bookViews>
    <workbookView xWindow="-120" yWindow="-120" windowWidth="20730" windowHeight="11040" tabRatio="500" firstSheet="3" activeTab="4" xr2:uid="{00000000-000D-0000-FFFF-FFFF00000000}"/>
  </bookViews>
  <sheets>
    <sheet name="Tipos de Dato" sheetId="1" r:id="rId1"/>
    <sheet name="Invetario de Tablas" sheetId="2" r:id="rId2"/>
    <sheet name="Diccionario Datos - PostgreSQL" sheetId="3" r:id="rId3"/>
    <sheet name="Diccionario Datos - MySQL" sheetId="4" r:id="rId4"/>
    <sheet name="Diccionario Datos - MS SQL Serv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23" i="5" l="1"/>
  <c r="C223" i="5"/>
  <c r="K212" i="5"/>
  <c r="C212" i="5"/>
  <c r="K205" i="5"/>
  <c r="C205" i="5"/>
  <c r="K193" i="5"/>
  <c r="C193" i="5"/>
  <c r="K186" i="5"/>
  <c r="C186" i="5"/>
  <c r="K177" i="5"/>
  <c r="C177" i="5"/>
  <c r="K167" i="5"/>
  <c r="C167" i="5"/>
  <c r="K159" i="5"/>
  <c r="C159" i="5"/>
  <c r="K146" i="5"/>
  <c r="C146" i="5"/>
  <c r="K139" i="5"/>
  <c r="C139" i="5"/>
  <c r="K128" i="5"/>
  <c r="C128" i="5"/>
  <c r="K121" i="5"/>
  <c r="C121" i="5"/>
  <c r="K113" i="5"/>
  <c r="C113" i="5"/>
  <c r="K102" i="5"/>
  <c r="C102" i="5"/>
  <c r="K95" i="5"/>
  <c r="C95" i="5"/>
  <c r="K86" i="5"/>
  <c r="C86" i="5"/>
  <c r="K79" i="5"/>
  <c r="C79" i="5"/>
  <c r="K71" i="5"/>
  <c r="C71" i="5"/>
  <c r="K63" i="5"/>
  <c r="C63" i="5"/>
  <c r="K52" i="5"/>
  <c r="C52" i="5"/>
  <c r="K45" i="5"/>
  <c r="C45" i="5"/>
  <c r="K35" i="5"/>
  <c r="C35" i="5"/>
  <c r="K20" i="5"/>
  <c r="C20" i="5"/>
  <c r="K12" i="5"/>
  <c r="C12" i="5"/>
  <c r="A12" i="5"/>
  <c r="K3" i="5"/>
  <c r="C3" i="5"/>
  <c r="A3" i="5"/>
  <c r="K223" i="4"/>
  <c r="C223" i="4"/>
  <c r="K212" i="4"/>
  <c r="C212" i="4"/>
  <c r="K205" i="4"/>
  <c r="C205" i="4"/>
  <c r="K193" i="4"/>
  <c r="C193" i="4"/>
  <c r="K186" i="4"/>
  <c r="C186" i="4"/>
  <c r="K177" i="4"/>
  <c r="C177" i="4"/>
  <c r="K167" i="4"/>
  <c r="C167" i="4"/>
  <c r="K159" i="4"/>
  <c r="C159" i="4"/>
  <c r="K146" i="4"/>
  <c r="C146" i="4"/>
  <c r="K139" i="4"/>
  <c r="C139" i="4"/>
  <c r="K128" i="4"/>
  <c r="C128" i="4"/>
  <c r="K121" i="4"/>
  <c r="C121" i="4"/>
  <c r="K113" i="4"/>
  <c r="C113" i="4"/>
  <c r="K102" i="4"/>
  <c r="C102" i="4"/>
  <c r="K95" i="4"/>
  <c r="C95" i="4"/>
  <c r="K86" i="4"/>
  <c r="C86" i="4"/>
  <c r="K79" i="4"/>
  <c r="C79" i="4"/>
  <c r="K71" i="4"/>
  <c r="C71" i="4"/>
  <c r="K63" i="4"/>
  <c r="C63" i="4"/>
  <c r="K52" i="4"/>
  <c r="C52" i="4"/>
  <c r="K45" i="4"/>
  <c r="C45" i="4"/>
  <c r="K35" i="4"/>
  <c r="C35" i="4"/>
  <c r="K20" i="4"/>
  <c r="C20" i="4"/>
  <c r="K12" i="4"/>
  <c r="C12" i="4"/>
  <c r="A12" i="4"/>
  <c r="K3" i="4"/>
  <c r="C3" i="4"/>
  <c r="A3" i="4"/>
  <c r="K223" i="3"/>
  <c r="C223" i="3"/>
  <c r="K212" i="3"/>
  <c r="C212" i="3"/>
  <c r="K205" i="3"/>
  <c r="C205" i="3"/>
  <c r="K193" i="3"/>
  <c r="C193" i="3"/>
  <c r="K186" i="3"/>
  <c r="C186" i="3"/>
  <c r="K177" i="3"/>
  <c r="C177" i="3"/>
  <c r="K167" i="3"/>
  <c r="C167" i="3"/>
  <c r="K159" i="3"/>
  <c r="C159" i="3"/>
  <c r="K146" i="3"/>
  <c r="C146" i="3"/>
  <c r="K139" i="3"/>
  <c r="C139" i="3"/>
  <c r="K128" i="3"/>
  <c r="C128" i="3"/>
  <c r="K121" i="3"/>
  <c r="C121" i="3"/>
  <c r="K113" i="3"/>
  <c r="C113" i="3"/>
  <c r="K102" i="3"/>
  <c r="C102" i="3"/>
  <c r="K95" i="3"/>
  <c r="C95" i="3"/>
  <c r="K86" i="3"/>
  <c r="C86" i="3"/>
  <c r="K79" i="3"/>
  <c r="C79" i="3"/>
  <c r="K71" i="3"/>
  <c r="C71" i="3"/>
  <c r="K63" i="3"/>
  <c r="C63" i="3"/>
  <c r="K52" i="3"/>
  <c r="C52" i="3"/>
  <c r="K45" i="3"/>
  <c r="C45" i="3"/>
  <c r="K35" i="3"/>
  <c r="C35" i="3"/>
  <c r="K20" i="3"/>
  <c r="C20" i="3"/>
  <c r="K12" i="3"/>
  <c r="C12" i="3"/>
  <c r="A12" i="3"/>
  <c r="K3" i="3"/>
  <c r="C3" i="3"/>
  <c r="A3" i="3"/>
  <c r="A5" i="2"/>
  <c r="A6" i="2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7" i="2" l="1"/>
  <c r="A20" i="4"/>
  <c r="A20" i="3"/>
  <c r="A20" i="5"/>
  <c r="A8" i="2" l="1"/>
  <c r="A35" i="3"/>
  <c r="A35" i="4"/>
  <c r="A35" i="5"/>
  <c r="A9" i="2" l="1"/>
  <c r="A45" i="3"/>
  <c r="A45" i="4"/>
  <c r="A45" i="5"/>
  <c r="A10" i="2" l="1"/>
  <c r="A52" i="3"/>
  <c r="A52" i="4"/>
  <c r="A52" i="5"/>
  <c r="A11" i="2" l="1"/>
  <c r="A63" i="3"/>
  <c r="A63" i="4"/>
  <c r="A63" i="5"/>
  <c r="A12" i="2" l="1"/>
  <c r="A71" i="4"/>
  <c r="A71" i="3"/>
  <c r="A71" i="5"/>
  <c r="A13" i="2" l="1"/>
  <c r="A79" i="3"/>
  <c r="A79" i="4"/>
  <c r="A79" i="5"/>
  <c r="A14" i="2" l="1"/>
  <c r="A86" i="3"/>
  <c r="A86" i="4"/>
  <c r="A86" i="5"/>
  <c r="A15" i="2" l="1"/>
  <c r="A95" i="3"/>
  <c r="A95" i="4"/>
  <c r="A95" i="5"/>
  <c r="A16" i="2" l="1"/>
  <c r="A102" i="3"/>
  <c r="A102" i="4"/>
  <c r="A102" i="5"/>
  <c r="A17" i="2" l="1"/>
  <c r="A113" i="3"/>
  <c r="A113" i="4"/>
  <c r="A113" i="5"/>
  <c r="A18" i="2" l="1"/>
  <c r="A121" i="3"/>
  <c r="A121" i="4"/>
  <c r="A121" i="5"/>
  <c r="A19" i="2" l="1"/>
  <c r="A128" i="3"/>
  <c r="A128" i="4"/>
  <c r="A128" i="5"/>
  <c r="A20" i="2" l="1"/>
  <c r="A139" i="3"/>
  <c r="A139" i="4"/>
  <c r="A139" i="5"/>
  <c r="A21" i="2" l="1"/>
  <c r="A146" i="3"/>
  <c r="A146" i="4"/>
  <c r="A146" i="5"/>
  <c r="A22" i="2" l="1"/>
  <c r="A159" i="3"/>
  <c r="A159" i="4"/>
  <c r="A159" i="5"/>
  <c r="A23" i="2" l="1"/>
  <c r="A167" i="3"/>
  <c r="A167" i="4"/>
  <c r="A167" i="5"/>
  <c r="A24" i="2" l="1"/>
  <c r="A177" i="3"/>
  <c r="A177" i="4"/>
  <c r="A177" i="5"/>
  <c r="A25" i="2" l="1"/>
  <c r="A186" i="3"/>
  <c r="A186" i="4"/>
  <c r="A186" i="5"/>
  <c r="A26" i="2" l="1"/>
  <c r="A193" i="3"/>
  <c r="A193" i="4"/>
  <c r="A193" i="5"/>
  <c r="A27" i="2" l="1"/>
  <c r="A205" i="3"/>
  <c r="A205" i="4"/>
  <c r="A205" i="5"/>
  <c r="A28" i="2" l="1"/>
  <c r="A212" i="3"/>
  <c r="A212" i="4"/>
  <c r="A212" i="5"/>
  <c r="A223" i="3" l="1"/>
  <c r="A223" i="4"/>
  <c r="A223" i="5"/>
</calcChain>
</file>

<file path=xl/sharedStrings.xml><?xml version="1.0" encoding="utf-8"?>
<sst xmlns="http://schemas.openxmlformats.org/spreadsheetml/2006/main" count="4196" uniqueCount="638">
  <si>
    <t>Tipos de Datos - Tabla Comparativa</t>
  </si>
  <si>
    <t>#</t>
  </si>
  <si>
    <t>Tipo de Dato Genérico</t>
  </si>
  <si>
    <t>Descripción</t>
  </si>
  <si>
    <t>En PosgreSQL
Versión: 16</t>
  </si>
  <si>
    <t>En MySQL
Versión: 8.4 LTS</t>
  </si>
  <si>
    <t>En MS SQL Server
Versión: 2022</t>
  </si>
  <si>
    <t>Tipo de Dato</t>
  </si>
  <si>
    <t>Dominio</t>
  </si>
  <si>
    <t>Tamaño
BYTES</t>
  </si>
  <si>
    <t>Observaciones</t>
  </si>
  <si>
    <t>AUTOINCREMENTABLE</t>
  </si>
  <si>
    <t>Número entero que el motor genera solo, de forma consecutiva y única.</t>
  </si>
  <si>
    <t>BIGSERIAL / SERIAL</t>
  </si>
  <si>
    <t>Entero consecutivo automático</t>
  </si>
  <si>
    <t>8 Bytes / 4 Bytes</t>
  </si>
  <si>
    <t>BIGINT AUTO_INCREMENT / INT AUTO_INCREMENT</t>
  </si>
  <si>
    <t>BIGINT IDENTITY(1,1) / INT IDENTITY(1,1)</t>
  </si>
  <si>
    <t>Claves primarias (id_usuario, id_publicacion, id_transaccion…). BIGINT/BIGSERIAL en tablas principales; INT/SERIAL en catálogos.</t>
  </si>
  <si>
    <t>UUID</t>
  </si>
  <si>
    <t>Identificador único universal de 128 bits, no secuencial.</t>
  </si>
  <si>
    <t>Identificador Único Universal (128 bits)</t>
  </si>
  <si>
    <t>16 Bytes</t>
  </si>
  <si>
    <t>CHAR(36) / BINARY(16)</t>
  </si>
  <si>
    <t>UUID en texto (36 caracteres) o binario (16 bytes)</t>
  </si>
  <si>
    <t>36 Bytes / 16 Bytes</t>
  </si>
  <si>
    <t>UNIQUEIDENTIFIER</t>
  </si>
  <si>
    <t>Útil para identificadores expuestos externamente. Se genera con gen_random_uuid() (PostgreSQL), UUID() (MySQL) y NEWID() (SQL Server).</t>
  </si>
  <si>
    <t>ENTERO</t>
  </si>
  <si>
    <t>Números enteros sin decimales.</t>
  </si>
  <si>
    <t>BIGINT / INTEGER</t>
  </si>
  <si>
    <t>±9,2 x 10^18 / ±2.147.483.647</t>
  </si>
  <si>
    <t>BIGINT / INT</t>
  </si>
  <si>
    <t>Claves foráneas (FK) y contadores (nro_comentario, cantidad, stock_producto). La FK debe tener el mismo tipo que la PK a la que apunta.</t>
  </si>
  <si>
    <t>DECIMAL</t>
  </si>
  <si>
    <t>Números con precisión decimal exacta, sin errores de redondeo.</t>
  </si>
  <si>
    <t>NUMERIC(p,s)</t>
  </si>
  <si>
    <t>Hasta 131.072 dígitos antes y 16.383 después del punto</t>
  </si>
  <si>
    <t>Variable según precisión</t>
  </si>
  <si>
    <t>DECIMAL(p,s)</t>
  </si>
  <si>
    <t>Hasta 65 dígitos en total</t>
  </si>
  <si>
    <t>Variable (4 Bytes por cada 9 dígitos)</t>
  </si>
  <si>
    <t>Hasta 38 dígitos en total</t>
  </si>
  <si>
    <t>5 a 17 Bytes según precisión</t>
  </si>
  <si>
    <t>Montos de dinero (precio_producto, precio_servicio, monto_total, precio_unitario) con NUMERIC/DECIMAL(12,2), evitando la coma flotante.</t>
  </si>
  <si>
    <t>LÓGICO</t>
  </si>
  <si>
    <t>Valor verdadero o falso.</t>
  </si>
  <si>
    <t>BOOLEAN</t>
  </si>
  <si>
    <t>TRUE / FALSE</t>
  </si>
  <si>
    <t>1 Byte</t>
  </si>
  <si>
    <t>BOOLEAN (alias de TINYINT(1))</t>
  </si>
  <si>
    <t>1 = verdadero / 0 = falso</t>
  </si>
  <si>
    <t>BIT</t>
  </si>
  <si>
    <t>1 bit (se agrupan de 8 en 1 Byte)</t>
  </si>
  <si>
    <t>Estados binarios (estado_leido, estado_activo, disponible, asistio). SQL Server no tiene BOOLEAN; usa BIT.</t>
  </si>
  <si>
    <t>TEXTO</t>
  </si>
  <si>
    <t>Texto largo sin límite práctico de longitud.</t>
  </si>
  <si>
    <t>TEXT</t>
  </si>
  <si>
    <t>Cadenas de longitud ilimitada</t>
  </si>
  <si>
    <t>Variable (hasta 1 GB)</t>
  </si>
  <si>
    <t>TEXT / LONGTEXT</t>
  </si>
  <si>
    <t>Hasta 64 KB (TEXT) o 4 GB (LONGTEXT)</t>
  </si>
  <si>
    <t>Variable (2 a 4 Bytes + datos)</t>
  </si>
  <si>
    <t>VARCHAR(MAX)</t>
  </si>
  <si>
    <t>Hasta 2.147.483.647 Bytes</t>
  </si>
  <si>
    <t>Variable (hasta 2 GB)</t>
  </si>
  <si>
    <t>Bloques extensos (contenido_texto, contenido_comentario, descripciones). En SQL Server no se usa el tipo TEXT porque está obsoleto.</t>
  </si>
  <si>
    <t>CARACTER</t>
  </si>
  <si>
    <t>Texto de longitud fija.</t>
  </si>
  <si>
    <t>CHAR(n)</t>
  </si>
  <si>
    <t>Cadena de n caracteres (relleno con espacios)</t>
  </si>
  <si>
    <t>n Bytes</t>
  </si>
  <si>
    <t>Cadena de 0 a 255 caracteres</t>
  </si>
  <si>
    <t>n caracteres</t>
  </si>
  <si>
    <t>Cadena de 1 a 8.000 Bytes</t>
  </si>
  <si>
    <t>Códigos fijos e inmutables (siglas o códigos de 2 a 5 caracteres).</t>
  </si>
  <si>
    <t>FECHA</t>
  </si>
  <si>
    <t>Fecha sin hora (año, mes, día).</t>
  </si>
  <si>
    <t>DATE</t>
  </si>
  <si>
    <t>Fechas desde 4713 a. C. hasta 5874897 d. C.</t>
  </si>
  <si>
    <t>4 Bytes</t>
  </si>
  <si>
    <t>'1000-01-01' a '9999-12-31'</t>
  </si>
  <si>
    <t>3 Bytes</t>
  </si>
  <si>
    <t>'0001-01-01' a '9999-12-31'</t>
  </si>
  <si>
    <t>Fecha de nacimiento (fecha_nacimiento) y de eventos (fecha_evento) sin hora exacta.</t>
  </si>
  <si>
    <t>FECHA_HORA</t>
  </si>
  <si>
    <t>Fecha y hora completas.</t>
  </si>
  <si>
    <t>TIMESTAMPTZ</t>
  </si>
  <si>
    <t>Fecha y hora con zona horaria</t>
  </si>
  <si>
    <t>8 Bytes</t>
  </si>
  <si>
    <t>DATETIME / TIMESTAMP</t>
  </si>
  <si>
    <t>DATETIME: 1000 a 9999 / TIMESTAMP: 1970 a 2038 (UTC)</t>
  </si>
  <si>
    <t>5 a 8 Bytes / 4 a 7 Bytes</t>
  </si>
  <si>
    <t>DATETIMEOFFSET</t>
  </si>
  <si>
    <t>Fecha y hora con desplazamiento de zona horaria</t>
  </si>
  <si>
    <t>8 a 10 Bytes</t>
  </si>
  <si>
    <t>Marcas de tiempo (fecha_registro, fecha_publicacion, fecha_transaccion). MySQL no guarda zona horaria en DATETIME; se recomienda guardar en UTC.</t>
  </si>
  <si>
    <t>HORA</t>
  </si>
  <si>
    <t>Hora del día, sin fecha.</t>
  </si>
  <si>
    <t>TIME</t>
  </si>
  <si>
    <t>00:00:00 a 24:00:00 (sin zona horaria)</t>
  </si>
  <si>
    <t>'-838:59:59' a '838:59:59'</t>
  </si>
  <si>
    <t>3 a 6 Bytes</t>
  </si>
  <si>
    <t>00:00:00.0000000 a 23:59:59.9999999</t>
  </si>
  <si>
    <t>3 a 5 Bytes</t>
  </si>
  <si>
    <t>Horas de inicio o fin cuando se separan de la fecha.</t>
  </si>
  <si>
    <t>URL</t>
  </si>
  <si>
    <t>Dirección web o ruta de almacenamiento de un recurso.</t>
  </si>
  <si>
    <t>VARCHAR(2048) / TEXT</t>
  </si>
  <si>
    <t>Cadena de hasta 2048 caracteres</t>
  </si>
  <si>
    <t>Variable</t>
  </si>
  <si>
    <t>Variable (hasta 4 Bytes por carácter en utf8mb4)</t>
  </si>
  <si>
    <t>VARCHAR(2048) / VARCHAR(MAX)</t>
  </si>
  <si>
    <t>Variable (n Bytes + 2)</t>
  </si>
  <si>
    <t>Direcciones web o almacenamiento en la nube (url_archivo en multimedia, foto_perfil en perfil).</t>
  </si>
  <si>
    <t>ENUM</t>
  </si>
  <si>
    <t>Lista cerrada de valores permitidos.</t>
  </si>
  <si>
    <t>TYPE ENUM</t>
  </si>
  <si>
    <t>Valores constantes definidos con CREATE TYPE</t>
  </si>
  <si>
    <t>4 Bytes (interno)</t>
  </si>
  <si>
    <t>ENUM('a','b',…)</t>
  </si>
  <si>
    <t>Hasta 65.535 valores definidos en la columna</t>
  </si>
  <si>
    <t>1 a 2 Bytes</t>
  </si>
  <si>
    <t>VARCHAR(n) + CHECK</t>
  </si>
  <si>
    <t>No existe ENUM; se limita con CHECK (columna IN (…))</t>
  </si>
  <si>
    <t>n Bytes + 2</t>
  </si>
  <si>
    <t>Estados fijos (pendiente, aceptada, rechazada; imagen, documento, video, audio). En SQL Server se simula con CHECK o con una tabla catálogo.</t>
  </si>
  <si>
    <t xml:space="preserve">TEXTO_CORTO </t>
  </si>
  <si>
    <t>Texto de longitud variable con un máximo definido.</t>
  </si>
  <si>
    <t>VARCHAR(n)</t>
  </si>
  <si>
    <t>Cadena de hasta n caracteres</t>
  </si>
  <si>
    <t>n Bytes + 1 o 4 Bytes</t>
  </si>
  <si>
    <t>Cadena de hasta 65.535 Bytes</t>
  </si>
  <si>
    <t>n Bytes + 1 o 2 Bytes</t>
  </si>
  <si>
    <t>VARCHAR(n) / NVARCHAR(n)</t>
  </si>
  <si>
    <t>Hasta 8.000 / 4.000 caracteres</t>
  </si>
  <si>
    <t>n Bytes + 2 Bytes</t>
  </si>
  <si>
    <t>Cadenas con límite definido (nombre_usuario, correo_electronico, nombre_rol). NVARCHAR guarda Unicode en SQL Server.</t>
  </si>
  <si>
    <t>BINARIO</t>
  </si>
  <si>
    <t>Cadena de bytes en bruto.</t>
  </si>
  <si>
    <t>BYTEA</t>
  </si>
  <si>
    <t>Datos binarios</t>
  </si>
  <si>
    <t>BLOB / VARBINARY(n)</t>
  </si>
  <si>
    <t>Binario hasta 64 KB (BLOB)</t>
  </si>
  <si>
    <t>Variable (2 Bytes + datos)</t>
  </si>
  <si>
    <t>VARBINARY(MAX)</t>
  </si>
  <si>
    <t>Binario de hasta 2 GB</t>
  </si>
  <si>
    <t>Archivos pequeños guardados directamente en la base de datos, sin ruta en el sistema.</t>
  </si>
  <si>
    <t>JSON</t>
  </si>
  <si>
    <t>Documento JSON guardado como texto.</t>
  </si>
  <si>
    <t>Texto JSON válido (conserva el formato original)</t>
  </si>
  <si>
    <t>Documento JSON validado</t>
  </si>
  <si>
    <t>NVARCHAR(MAX) + ISJSON</t>
  </si>
  <si>
    <t>Texto JSON; se valida con CHECK (ISJSON(col)=1)</t>
  </si>
  <si>
    <t>SQL Server 2022 no tiene tipo JSON nativo, por eso se usa NVARCHAR(MAX) con validación.</t>
  </si>
  <si>
    <t>JSONB</t>
  </si>
  <si>
    <t>Documento JSON en formato binario, indexable y más rápido de consultar.</t>
  </si>
  <si>
    <t>JSON binario</t>
  </si>
  <si>
    <t>MySQL ya guarda el JSON en formato binario</t>
  </si>
  <si>
    <t>Texto JSON; sin equivalente binario</t>
  </si>
  <si>
    <t>Datos semiflexibles (datos_perfil en perfil: habilidades, intereses, áreas de estudio). En MySQL el tipo JSON equivale a JSONB.</t>
  </si>
  <si>
    <t>IMAGEN</t>
  </si>
  <si>
    <t>Imagen del sistema (foto, portada, evidencia).</t>
  </si>
  <si>
    <t>BYTEA / VARCHAR(255)</t>
  </si>
  <si>
    <t>Binario o ruta del archivo</t>
  </si>
  <si>
    <t>BLOB / VARCHAR(255)</t>
  </si>
  <si>
    <t>VARBINARY(MAX) / VARCHAR(255)</t>
  </si>
  <si>
    <t>Se recomienda guardar solo la ruta o URL en VARCHAR(255) y dejar el archivo en el servidor. SQL Server: el tipo IMAGE está obsoleto.</t>
  </si>
  <si>
    <t>AUDIO</t>
  </si>
  <si>
    <t>Audio adjunto (nota de voz, grabación).</t>
  </si>
  <si>
    <t>VARCHAR(255) / BYTEA</t>
  </si>
  <si>
    <t>Ruta de acceso o binario de audio</t>
  </si>
  <si>
    <t>VARCHAR(255) / BLOB</t>
  </si>
  <si>
    <t>VARCHAR(255) / VARBINARY(MAX)</t>
  </si>
  <si>
    <t>Ubicación del archivo de audio adjunto a las publicaciones.</t>
  </si>
  <si>
    <t>Modelo Lógico -  Tablas resultantes del Diccionario Genérico  (corregido)</t>
  </si>
  <si>
    <t>INVENTARIO DE TABLAS
Este inventario es el mismo para los 3 SGBDs: PostgreSQL, MySQL y MS SQL Server. Todos los diccionarios deben tomar la misma cantidad y los mismos nombres de esta tablas</t>
  </si>
  <si>
    <t>Tabla</t>
  </si>
  <si>
    <t>Descripción Tabla</t>
  </si>
  <si>
    <t>rol</t>
  </si>
  <si>
    <t>Catálogo de roles del sistema (administrador, auxiliar, miembro, visitante).</t>
  </si>
  <si>
    <t>Tabla Independiente. PK: id_rol.</t>
  </si>
  <si>
    <t>tipo_usuario</t>
  </si>
  <si>
    <t>Clasificación de usuarios (estudiante, docente, empleado, empresario).</t>
  </si>
  <si>
    <t>Tabla Independiente. PK: id_tipo_usuario.</t>
  </si>
  <si>
    <t>usuario</t>
  </si>
  <si>
    <t>Registro central de personas en la red social universitaria.</t>
  </si>
  <si>
    <t>Tabla Principal. FK a rol y tipo_usuario.</t>
  </si>
  <si>
    <t>perfil</t>
  </si>
  <si>
    <t>Datos complementarios, habilidades e intereses del usuario o grupo.</t>
  </si>
  <si>
    <t>Relación 1:1 con Usuario. Almacena campo JSONB.</t>
  </si>
  <si>
    <t>categoria_publicacion</t>
  </si>
  <si>
    <t>Clasificación de contenido (duda, recurso, noticia, meme).</t>
  </si>
  <si>
    <t>Tabla Catálogo. PK: id_categoria_publicacion.</t>
  </si>
  <si>
    <t>publicacion</t>
  </si>
  <si>
    <t>Mensajes, preguntas o noticias compartidas por los usuarios.</t>
  </si>
  <si>
    <t>Tabla Principal. FK a usuario y categoria_publicacion.</t>
  </si>
  <si>
    <t>comentario</t>
  </si>
  <si>
    <t>Comentarios realizados sobre las publicaciones de otros usuarios.</t>
  </si>
  <si>
    <t>Entidad Débil. FK a publicacion y usuario.</t>
  </si>
  <si>
    <t>tipo_reaccion</t>
  </si>
  <si>
    <t>Catálogo de tipos de reacción (me gusta, me encanta, útil, interesante).</t>
  </si>
  <si>
    <t>Tabla Catálogo. PK: id_tipo_reaccion.</t>
  </si>
  <si>
    <t>reaccion</t>
  </si>
  <si>
    <t>Interacciones o reacciones tipo "like" dadas en las publicaciones.</t>
  </si>
  <si>
    <t>Entidad Débil. Clave compuesta (id_publicacion, id_usuario).</t>
  </si>
  <si>
    <t>multimedia</t>
  </si>
  <si>
    <t>Archivos (imágenes/documentos/videos) adjuntos a una publicación.</t>
  </si>
  <si>
    <t>Entidad Débil. FK a publicacion.</t>
  </si>
  <si>
    <t>tipo_grupo</t>
  </si>
  <si>
    <t>Catálogo de tipos de grupo (estudio, hackaton, club de interés).</t>
  </si>
  <si>
    <t>Tabla Catálogo. PK: id_tipo_grupo.</t>
  </si>
  <si>
    <t>grupo</t>
  </si>
  <si>
    <t>Grupos o comunidades creadas dentro de la plataforma.</t>
  </si>
  <si>
    <t>Tabla Principal. FK a usuario (creador) y tipo_grupo.</t>
  </si>
  <si>
    <t>usuario_grupo</t>
  </si>
  <si>
    <t>Membresía y vinculación de usuarios a los diferentes grupos.</t>
  </si>
  <si>
    <t>Tabla Pivote N:M. Clave compuesta (id_usuario, id_grupo).</t>
  </si>
  <si>
    <t>tipo_servicio</t>
  </si>
  <si>
    <t>Catálogo de tipos de servicio (tutoría, cambalache, mantenimiento).</t>
  </si>
  <si>
    <t>Tabla Catálogo. PK: id_tipo_servicio.</t>
  </si>
  <si>
    <t>servicio</t>
  </si>
  <si>
    <t>Oferta de servicios universitarios por parte de un usuario.</t>
  </si>
  <si>
    <t>Tabla Principal. FK a usuario y tipo_servicio.</t>
  </si>
  <si>
    <t>tipo_producto</t>
  </si>
  <si>
    <t>Catálogo de tipos de producto (papelería, libros, ropa, tecnología).</t>
  </si>
  <si>
    <t>Tabla Catálogo. PK: id_tipo_producto.</t>
  </si>
  <si>
    <t>producto</t>
  </si>
  <si>
    <t>Productos o artículos publicados para la venta en el marketplace.</t>
  </si>
  <si>
    <t>Tabla Principal. FK a usuario y tipo_producto.</t>
  </si>
  <si>
    <t>medio_pago</t>
  </si>
  <si>
    <t>Catálogo de formas de pago (efectivo, transferencia, puntos pascualinos).</t>
  </si>
  <si>
    <t>Tabla Catálogo. PK: id_medio_pago.</t>
  </si>
  <si>
    <t>transaccion</t>
  </si>
  <si>
    <t>Encabezado de la compraventa o contratación realizada.</t>
  </si>
  <si>
    <t>Tabla Principal. FK a usuario (comprador) y medio_pago.</t>
  </si>
  <si>
    <t>detalle_transaccion</t>
  </si>
  <si>
    <t>Traza detallada de la venta (artículo, cantidad, precio unitario).</t>
  </si>
  <si>
    <t>Tabla Traza. FK a transaccion, producto y servicio.</t>
  </si>
  <si>
    <t>tipo_evento</t>
  </si>
  <si>
    <t>Catálogo de tipos de evento (taller, conferencia, reunión de estudio).</t>
  </si>
  <si>
    <t>Tabla Catálogo. PK: id_tipo_evento.</t>
  </si>
  <si>
    <t>evento</t>
  </si>
  <si>
    <t>Eventos académicos o sociales organizados dentro de la comunidad.</t>
  </si>
  <si>
    <t>Tabla Principal. FK a usuario (organizador) y tipo_evento.</t>
  </si>
  <si>
    <t>usuario_evento</t>
  </si>
  <si>
    <t>Asistencia y participación de los usuarios en los eventos.</t>
  </si>
  <si>
    <t>Tabla Pivote N:M. Clave compuesta (id_usuario, id_evento).</t>
  </si>
  <si>
    <t>solicitud_mentoria</t>
  </si>
  <si>
    <t>Solicitudes de acompañamiento y mentoría entre estudiantes y pares.</t>
  </si>
  <si>
    <t>Tabla de interacción. FK a usuario (mentor) y usuario (estudiante).</t>
  </si>
  <si>
    <t>notificacion</t>
  </si>
  <si>
    <t>Avisos e historial de alertas recibidas por los usuarios.</t>
  </si>
  <si>
    <t>Entidad Débil. FK a usuario.</t>
  </si>
  <si>
    <t>PostgreSQL - Tablas en Detalle</t>
  </si>
  <si>
    <t>Versión</t>
  </si>
  <si>
    <t>16</t>
  </si>
  <si>
    <t>Campo</t>
  </si>
  <si>
    <t>Descripción Campo</t>
  </si>
  <si>
    <t>Tipo Dato - PostgreSQL</t>
  </si>
  <si>
    <t>Tamaño</t>
  </si>
  <si>
    <t>Nulo</t>
  </si>
  <si>
    <t>PK</t>
  </si>
  <si>
    <t>FK</t>
  </si>
  <si>
    <t>UK</t>
  </si>
  <si>
    <t>Nota/Comentarios</t>
  </si>
  <si>
    <t>id_rol</t>
  </si>
  <si>
    <t>Identificador del rol.</t>
  </si>
  <si>
    <t>SERIAL</t>
  </si>
  <si>
    <t>No</t>
  </si>
  <si>
    <t>S</t>
  </si>
  <si>
    <t>Autogenerado por el motor.</t>
  </si>
  <si>
    <t>nombre_rol</t>
  </si>
  <si>
    <t>Nombre del rol (administrador, auxiliar, miembro, visitante).</t>
  </si>
  <si>
    <t>VARCHAR(30)</t>
  </si>
  <si>
    <t>30 car.</t>
  </si>
  <si>
    <t>sigla_rol</t>
  </si>
  <si>
    <t>Sigla fija del rol (ADM, AUX, MIE, VIS).</t>
  </si>
  <si>
    <t>CHAR(3)</t>
  </si>
  <si>
    <t>descripcion_rol</t>
  </si>
  <si>
    <t>Alcance y permisos del rol.</t>
  </si>
  <si>
    <t>VARCHAR(150)</t>
  </si>
  <si>
    <t>150 car.</t>
  </si>
  <si>
    <t>Sí</t>
  </si>
  <si>
    <t>estado_activo</t>
  </si>
  <si>
    <t>Indica si el rol está vigente.</t>
  </si>
  <si>
    <t>DEFAULT TRUE.</t>
  </si>
  <si>
    <t xml:space="preserve">NOTA: En las columnas PK, FK y UK debe colocar  “S”  solamente cuando aplique. En la columna “Nulo” coloque “No” en caso de que el campo debe estar valorizado
</t>
  </si>
  <si>
    <t>id_tipo_usuario</t>
  </si>
  <si>
    <t>Identificador del tipo de usuario.</t>
  </si>
  <si>
    <t>nombre_tipo_usuario</t>
  </si>
  <si>
    <t>Nombre del tipo (estudiante, docente, empleado, empresario).</t>
  </si>
  <si>
    <t>sigla_tipo_usuario</t>
  </si>
  <si>
    <t>Sigla fija del tipo (EST, DOC, EMP, EMR).</t>
  </si>
  <si>
    <t>descripcion_tipo_usuario</t>
  </si>
  <si>
    <t>Descripción de la clasificación.</t>
  </si>
  <si>
    <t>Indica si el tipo está vigente.</t>
  </si>
  <si>
    <t>id_usuario</t>
  </si>
  <si>
    <t>Identificador interno del usuario.</t>
  </si>
  <si>
    <t>BIGSERIAL</t>
  </si>
  <si>
    <t>uuid_usuario</t>
  </si>
  <si>
    <t>Identificador público, expuesto fuera del sistema.</t>
  </si>
  <si>
    <t>DEFAULT gen_random_uuid().</t>
  </si>
  <si>
    <t>Rol asignado al usuario.</t>
  </si>
  <si>
    <t>INTEGER</t>
  </si>
  <si>
    <t>FK → rol(id_rol).</t>
  </si>
  <si>
    <t>Clasificación del usuario.</t>
  </si>
  <si>
    <t>FK → tipo_usuario(id_tipo_usuario).</t>
  </si>
  <si>
    <t>nombre_usuario</t>
  </si>
  <si>
    <t>Alias único con el que se identifica en la red.</t>
  </si>
  <si>
    <t>VARCHAR(50)</t>
  </si>
  <si>
    <t>50 car.</t>
  </si>
  <si>
    <t>nombres</t>
  </si>
  <si>
    <t>Nombres de la persona.</t>
  </si>
  <si>
    <t>VARCHAR(80)</t>
  </si>
  <si>
    <t>80 car.</t>
  </si>
  <si>
    <t>apellidos</t>
  </si>
  <si>
    <t>Apellidos de la persona.</t>
  </si>
  <si>
    <t>correo_electronico</t>
  </si>
  <si>
    <t>Correo institucional o personal.</t>
  </si>
  <si>
    <t>VARCHAR(120)</t>
  </si>
  <si>
    <t>120 car.</t>
  </si>
  <si>
    <t>contrasena_hash</t>
  </si>
  <si>
    <t>Contraseña almacenada cifrada (hash).</t>
  </si>
  <si>
    <t>VARCHAR(255)</t>
  </si>
  <si>
    <t>255 car.</t>
  </si>
  <si>
    <t>Nunca en texto plano.</t>
  </si>
  <si>
    <t>fecha_nacimiento</t>
  </si>
  <si>
    <t>Fecha de nacimiento.</t>
  </si>
  <si>
    <t>Indica si la cuenta está activa.</t>
  </si>
  <si>
    <t>fecha_registro</t>
  </si>
  <si>
    <t>Fecha y hora de creación de la cuenta.</t>
  </si>
  <si>
    <t>DEFAULT now().</t>
  </si>
  <si>
    <t>Usuario dueño del perfil (relación 1:1).</t>
  </si>
  <si>
    <t>BIGINT</t>
  </si>
  <si>
    <t>FK → usuario(id_usuario).</t>
  </si>
  <si>
    <t>foto_perfil</t>
  </si>
  <si>
    <t>URL de la foto de perfil.</t>
  </si>
  <si>
    <t>VARCHAR(2048)</t>
  </si>
  <si>
    <t>2048 car.</t>
  </si>
  <si>
    <t>biografia</t>
  </si>
  <si>
    <t>Presentación personal del usuario.</t>
  </si>
  <si>
    <t>programa_academico</t>
  </si>
  <si>
    <t>Programa o carrera que cursa o dicta.</t>
  </si>
  <si>
    <t>VARCHAR(100)</t>
  </si>
  <si>
    <t>100 car.</t>
  </si>
  <si>
    <t>semestre_actual</t>
  </si>
  <si>
    <t>Semestre que cursa el usuario.</t>
  </si>
  <si>
    <t>CHECK (1 a 12).</t>
  </si>
  <si>
    <t>datos_perfil</t>
  </si>
  <si>
    <t>Habilidades, intereses y áreas de estudio.</t>
  </si>
  <si>
    <t>fecha_actualizacion</t>
  </si>
  <si>
    <t>Última modificación del perfil.</t>
  </si>
  <si>
    <t>id_categoria_publicacion</t>
  </si>
  <si>
    <t>Identificador del categoría.</t>
  </si>
  <si>
    <t>nombre_categoria_publicacion</t>
  </si>
  <si>
    <t>Nombre del categoría.</t>
  </si>
  <si>
    <t>VARCHAR(40)</t>
  </si>
  <si>
    <t>40 car.</t>
  </si>
  <si>
    <t>descripcion_categoria_publicacion</t>
  </si>
  <si>
    <t>Uso de la categoría (duda, recurso, noticia, meme).</t>
  </si>
  <si>
    <t>Indica si el registro está vigente.</t>
  </si>
  <si>
    <t>id_publicacion</t>
  </si>
  <si>
    <t>Identificador de la publicación.</t>
  </si>
  <si>
    <t>Usuario autor de la publicación.</t>
  </si>
  <si>
    <t>Categoría del contenido.</t>
  </si>
  <si>
    <t>FK → categoria_publicacion(id_categoria_publicacion).</t>
  </si>
  <si>
    <t>titulo_publicacion</t>
  </si>
  <si>
    <t>Título o asunto de la publicación.</t>
  </si>
  <si>
    <t>contenido_texto</t>
  </si>
  <si>
    <t>Cuerpo del mensaje, pregunta o noticia.</t>
  </si>
  <si>
    <t>ruta_audio</t>
  </si>
  <si>
    <t>Ruta del audio adjunto (nota de voz).</t>
  </si>
  <si>
    <t>fecha_publicacion</t>
  </si>
  <si>
    <t>Fecha y hora de publicación.</t>
  </si>
  <si>
    <t>Indica si la publicación es visible.</t>
  </si>
  <si>
    <t>Publicación comentada.</t>
  </si>
  <si>
    <t>FK → publicacion(id_publicacion).</t>
  </si>
  <si>
    <t>nro_comentario</t>
  </si>
  <si>
    <t>Número consecutivo dentro de la publicación.</t>
  </si>
  <si>
    <t>Parte de la PK compuesta.</t>
  </si>
  <si>
    <t>Usuario que comenta.</t>
  </si>
  <si>
    <t>contenido_comentario</t>
  </si>
  <si>
    <t>Texto del comentario.</t>
  </si>
  <si>
    <t>fecha_comentario</t>
  </si>
  <si>
    <t>Fecha y hora del comentario.</t>
  </si>
  <si>
    <t>id_tipo_reaccion</t>
  </si>
  <si>
    <t>Identificador del tipo de reacción.</t>
  </si>
  <si>
    <t>nombre_tipo_reaccion</t>
  </si>
  <si>
    <t>Nombre del tipo de reacción.</t>
  </si>
  <si>
    <t>descripcion_tipo_reaccion</t>
  </si>
  <si>
    <t>Significado (me gusta, me encanta, útil, interesante).</t>
  </si>
  <si>
    <t>icono_reaccion</t>
  </si>
  <si>
    <t>Nombre o símbolo del ícono mostrado.</t>
  </si>
  <si>
    <t>Publicación que recibe la reacción.</t>
  </si>
  <si>
    <t>Usuario que reacciona.</t>
  </si>
  <si>
    <t>FK → usuario(id_usuario). Un usuario reacciona una vez por publicación.</t>
  </si>
  <si>
    <t>Tipo de reacción elegida.</t>
  </si>
  <si>
    <t>FK → tipo_reaccion(id_tipo_reaccion).</t>
  </si>
  <si>
    <t>fecha_reaccion</t>
  </si>
  <si>
    <t>Fecha y hora de la reacción.</t>
  </si>
  <si>
    <t>Publicación a la que se adjunta.</t>
  </si>
  <si>
    <t>nro_multimedia</t>
  </si>
  <si>
    <t>Número consecutivo del adjunto.</t>
  </si>
  <si>
    <t>tipo_archivo</t>
  </si>
  <si>
    <t>Clase de archivo adjunto.</t>
  </si>
  <si>
    <t>tipo_archivo_enum (ENUM)</t>
  </si>
  <si>
    <t>CREATE TYPE tipo_archivo_enum AS ENUM ('imagen','documento','video','audio').</t>
  </si>
  <si>
    <t>url_archivo</t>
  </si>
  <si>
    <t>URL o ruta de almacenamiento del archivo.</t>
  </si>
  <si>
    <t>nombre_archivo</t>
  </si>
  <si>
    <t>Nombre original del archivo.</t>
  </si>
  <si>
    <t>fecha_carga</t>
  </si>
  <si>
    <t>Fecha y hora de carga.</t>
  </si>
  <si>
    <t>id_tipo_grupo</t>
  </si>
  <si>
    <t>Identificador del tipo de grupo.</t>
  </si>
  <si>
    <t>nombre_tipo_grupo</t>
  </si>
  <si>
    <t>Nombre del tipo de grupo.</t>
  </si>
  <si>
    <t>descripcion_tipo_grupo</t>
  </si>
  <si>
    <t>Descripción (estudio, hackaton, club de interés).</t>
  </si>
  <si>
    <t>id_grupo</t>
  </si>
  <si>
    <t>Identificador del grupo.</t>
  </si>
  <si>
    <t>id_usuario_creador</t>
  </si>
  <si>
    <t>Usuario que creó el grupo.</t>
  </si>
  <si>
    <t>Clasificación del grupo.</t>
  </si>
  <si>
    <t>FK → tipo_grupo(id_tipo_grupo).</t>
  </si>
  <si>
    <t>nombre_grupo</t>
  </si>
  <si>
    <t>Nombre del grupo o comunidad.</t>
  </si>
  <si>
    <t>descripcion_grupo</t>
  </si>
  <si>
    <t>Propósito del grupo.</t>
  </si>
  <si>
    <t>imagen_portada</t>
  </si>
  <si>
    <t>Ruta de la imagen de portada.</t>
  </si>
  <si>
    <t>fecha_creacion</t>
  </si>
  <si>
    <t>Fecha y hora de creación.</t>
  </si>
  <si>
    <t>Indica si el grupo está activo.</t>
  </si>
  <si>
    <t>Usuario miembro.</t>
  </si>
  <si>
    <t>Grupo al que pertenece.</t>
  </si>
  <si>
    <t>FK → grupo(id_grupo).</t>
  </si>
  <si>
    <t>rol_grupo</t>
  </si>
  <si>
    <t>Papel del usuario dentro del grupo.</t>
  </si>
  <si>
    <t>rol_grupo_enum (ENUM)</t>
  </si>
  <si>
    <t>CREATE TYPE rol_grupo_enum AS ENUM ('miembro','moderador','administrador').</t>
  </si>
  <si>
    <t>fecha_union</t>
  </si>
  <si>
    <t>Fecha y hora de ingreso al grupo.</t>
  </si>
  <si>
    <t>Indica si la membresía está vigente.</t>
  </si>
  <si>
    <t>id_tipo_servicio</t>
  </si>
  <si>
    <t>Identificador del tipo de servicio.</t>
  </si>
  <si>
    <t>nombre_tipo_servicio</t>
  </si>
  <si>
    <t>Nombre del tipo de servicio.</t>
  </si>
  <si>
    <t>descripcion_tipo_servicio</t>
  </si>
  <si>
    <t>Descripción (tutoría, cambalache, mantenimiento).</t>
  </si>
  <si>
    <t>id_servicio</t>
  </si>
  <si>
    <t>Identificador del servicio.</t>
  </si>
  <si>
    <t>Usuario que ofrece el servicio.</t>
  </si>
  <si>
    <t>Clasificación del servicio.</t>
  </si>
  <si>
    <t>FK → tipo_servicio(id_tipo_servicio).</t>
  </si>
  <si>
    <t>nombre_servicio</t>
  </si>
  <si>
    <t>Nombre de la oferta.</t>
  </si>
  <si>
    <t>descripcion_servicio</t>
  </si>
  <si>
    <t>Detalle de lo que incluye.</t>
  </si>
  <si>
    <t>precio_servicio</t>
  </si>
  <si>
    <t>Valor del servicio.</t>
  </si>
  <si>
    <t>NUMERIC(12,2)</t>
  </si>
  <si>
    <t>CHECK (&gt;= 0).</t>
  </si>
  <si>
    <t>disponible</t>
  </si>
  <si>
    <t>Indica si el servicio se ofrece actualmente.</t>
  </si>
  <si>
    <t>id_tipo_producto</t>
  </si>
  <si>
    <t>Identificador del tipo de producto.</t>
  </si>
  <si>
    <t>nombre_tipo_producto</t>
  </si>
  <si>
    <t>Nombre del tipo de producto.</t>
  </si>
  <si>
    <t>descripcion_tipo_producto</t>
  </si>
  <si>
    <t>Descripción (papelería, libros, ropa, tecnología).</t>
  </si>
  <si>
    <t>id_producto</t>
  </si>
  <si>
    <t>Identificador del producto.</t>
  </si>
  <si>
    <t>Usuario que vende el producto.</t>
  </si>
  <si>
    <t>Clasificación del producto.</t>
  </si>
  <si>
    <t>FK → tipo_producto(id_tipo_producto).</t>
  </si>
  <si>
    <t>nombre_producto</t>
  </si>
  <si>
    <t>Nombre del artículo.</t>
  </si>
  <si>
    <t>descripcion_producto</t>
  </si>
  <si>
    <t>Detalle y estado del artículo.</t>
  </si>
  <si>
    <t>precio_producto</t>
  </si>
  <si>
    <t>Precio de venta.</t>
  </si>
  <si>
    <t>stock_producto</t>
  </si>
  <si>
    <t>Unidades disponibles.</t>
  </si>
  <si>
    <t>imagen_producto</t>
  </si>
  <si>
    <t>Ruta de la imagen del producto.</t>
  </si>
  <si>
    <t>Indica si está a la venta.</t>
  </si>
  <si>
    <t>id_medio_pago</t>
  </si>
  <si>
    <t>Identificador del medio de pago.</t>
  </si>
  <si>
    <t>nombre_medio_pago</t>
  </si>
  <si>
    <t>Nombre (efectivo, transferencia, puntos pascualinos).</t>
  </si>
  <si>
    <t>sigla_medio_pago</t>
  </si>
  <si>
    <t>Sigla fija del medio (EFE, TRA, PPA).</t>
  </si>
  <si>
    <t>descripcion_medio_pago</t>
  </si>
  <si>
    <t>Condiciones del medio de pago.</t>
  </si>
  <si>
    <t>Indica si el medio está habilitado.</t>
  </si>
  <si>
    <t>id_transaccion</t>
  </si>
  <si>
    <t>Identificador de la transacción.</t>
  </si>
  <si>
    <t>uuid_transaccion</t>
  </si>
  <si>
    <t>Código público de la transacción.</t>
  </si>
  <si>
    <t>id_usuario_comprador</t>
  </si>
  <si>
    <t>Usuario que compra o contrata.</t>
  </si>
  <si>
    <t>Medio con el que se paga.</t>
  </si>
  <si>
    <t>FK → medio_pago(id_medio_pago).</t>
  </si>
  <si>
    <t>monto_total</t>
  </si>
  <si>
    <t>Valor total de la transacción.</t>
  </si>
  <si>
    <t>estado_transaccion</t>
  </si>
  <si>
    <t>Situación de la transacción.</t>
  </si>
  <si>
    <t>estado_transaccion_enum (ENUM)</t>
  </si>
  <si>
    <t>CREATE TYPE estado_transaccion_enum AS ENUM ('pendiente','pagada','cancelada').</t>
  </si>
  <si>
    <t>fecha_transaccion</t>
  </si>
  <si>
    <t>Fecha y hora de la transacción.</t>
  </si>
  <si>
    <t>Transacción a la que pertenece.</t>
  </si>
  <si>
    <t>FK → transaccion(id_transaccion).</t>
  </si>
  <si>
    <t>nro_detalle</t>
  </si>
  <si>
    <t>Número consecutivo de la línea.</t>
  </si>
  <si>
    <t>Producto vendido.</t>
  </si>
  <si>
    <t>FK → producto(id_producto). Solo uno de producto o servicio.</t>
  </si>
  <si>
    <t>Servicio contratado.</t>
  </si>
  <si>
    <t>FK → servicio(id_servicio). Solo uno de producto o servicio.</t>
  </si>
  <si>
    <t>cantidad</t>
  </si>
  <si>
    <t>Unidades vendidas o contratadas.</t>
  </si>
  <si>
    <t>CHECK (&gt; 0).</t>
  </si>
  <si>
    <t>precio_unitario</t>
  </si>
  <si>
    <t>Precio de cada unidad al momento de la venta.</t>
  </si>
  <si>
    <t>id_tipo_evento</t>
  </si>
  <si>
    <t>Identificador del tipo de evento.</t>
  </si>
  <si>
    <t>nombre_tipo_evento</t>
  </si>
  <si>
    <t>Nombre del tipo de evento.</t>
  </si>
  <si>
    <t>descripcion_tipo_evento</t>
  </si>
  <si>
    <t>Descripción (taller, conferencia, reunión de estudio).</t>
  </si>
  <si>
    <t>id_evento</t>
  </si>
  <si>
    <t>Identificador del evento.</t>
  </si>
  <si>
    <t>id_usuario_organizador</t>
  </si>
  <si>
    <t>Usuario que organiza el evento.</t>
  </si>
  <si>
    <t>Clasificación del evento.</t>
  </si>
  <si>
    <t>FK → tipo_evento(id_tipo_evento).</t>
  </si>
  <si>
    <t>nombre_evento</t>
  </si>
  <si>
    <t>Nombre del evento.</t>
  </si>
  <si>
    <t>descripcion_evento</t>
  </si>
  <si>
    <t>Detalle y agenda del evento.</t>
  </si>
  <si>
    <t>fecha_evento</t>
  </si>
  <si>
    <t>Día en que se realiza.</t>
  </si>
  <si>
    <t>hora_inicio</t>
  </si>
  <si>
    <t>Hora de inicio.</t>
  </si>
  <si>
    <t>hora_fin</t>
  </si>
  <si>
    <t>Hora de finalización.</t>
  </si>
  <si>
    <t>lugar_evento</t>
  </si>
  <si>
    <t>Lugar físico o enlace virtual.</t>
  </si>
  <si>
    <t>Usuario participante.</t>
  </si>
  <si>
    <t>Evento al que se inscribe.</t>
  </si>
  <si>
    <t>FK → evento(id_evento).</t>
  </si>
  <si>
    <t>fecha_inscripcion</t>
  </si>
  <si>
    <t>Fecha y hora de inscripción.</t>
  </si>
  <si>
    <t>asistio</t>
  </si>
  <si>
    <t>Indica si asistió al evento.</t>
  </si>
  <si>
    <t>DEFAULT FALSE.</t>
  </si>
  <si>
    <t>id_solicitud_mentoria</t>
  </si>
  <si>
    <t>Identificador de la solicitud.</t>
  </si>
  <si>
    <t>id_usuario_mentor</t>
  </si>
  <si>
    <t>Usuario que acompañaría como mentor.</t>
  </si>
  <si>
    <t>FK → usuario(id_usuario). CHECK mentor &lt;&gt; estudiante.</t>
  </si>
  <si>
    <t>id_usuario_estudiante</t>
  </si>
  <si>
    <t>Usuario que solicita la mentoría.</t>
  </si>
  <si>
    <t>tema_mentoria</t>
  </si>
  <si>
    <t>Tema o materia a acompañar.</t>
  </si>
  <si>
    <t>mensaje_solicitud</t>
  </si>
  <si>
    <t>Mensaje que acompaña la solicitud.</t>
  </si>
  <si>
    <t>estado_solicitud</t>
  </si>
  <si>
    <t>Respuesta a la solicitud.</t>
  </si>
  <si>
    <t>estado_solicitud_enum (ENUM)</t>
  </si>
  <si>
    <t>CREATE TYPE estado_solicitud_enum AS ENUM ('pendiente','aceptada','rechazada').</t>
  </si>
  <si>
    <t>fecha_solicitud</t>
  </si>
  <si>
    <t>Fecha y hora de la solicitud.</t>
  </si>
  <si>
    <t>fecha_respuesta</t>
  </si>
  <si>
    <t>Fecha y hora de la respuesta.</t>
  </si>
  <si>
    <t>Sin valor mientras esté pendiente.</t>
  </si>
  <si>
    <t>Usuario que recibe el aviso.</t>
  </si>
  <si>
    <t>nro_notificacion</t>
  </si>
  <si>
    <t>Número consecutivo por usuario.</t>
  </si>
  <si>
    <t>titulo_notificacion</t>
  </si>
  <si>
    <t>Título breve del aviso.</t>
  </si>
  <si>
    <t>mensaje_notificacion</t>
  </si>
  <si>
    <t>Contenido del aviso.</t>
  </si>
  <si>
    <t>estado_leido</t>
  </si>
  <si>
    <t>Indica si el usuario ya lo leyó.</t>
  </si>
  <si>
    <t>fecha_notificacion</t>
  </si>
  <si>
    <t>Fecha y hora del aviso.</t>
  </si>
  <si>
    <t>MySQL - Tablas en Detalle</t>
  </si>
  <si>
    <t>8.4 LTS</t>
  </si>
  <si>
    <t>Tipo Dato - MySQL</t>
  </si>
  <si>
    <t>INT AUTO_INCREMENT</t>
  </si>
  <si>
    <t>3 car.</t>
  </si>
  <si>
    <t>BIGINT AUTO_INCREMENT</t>
  </si>
  <si>
    <t>CHAR(36)</t>
  </si>
  <si>
    <t>36 Bytes</t>
  </si>
  <si>
    <t>DEFAULT (UUID()).</t>
  </si>
  <si>
    <t>INT</t>
  </si>
  <si>
    <t>DATETIME</t>
  </si>
  <si>
    <t>5 a 8 Bytes</t>
  </si>
  <si>
    <t>DEFAULT CURRENT_TIMESTAMP (UTC).</t>
  </si>
  <si>
    <t>Variable (hasta 64 KB)</t>
  </si>
  <si>
    <t>ENUM('imagen','documento','video','audio')</t>
  </si>
  <si>
    <t>ENUM('miembro','moderador','administrador')</t>
  </si>
  <si>
    <t>DECIMAL(12,2)</t>
  </si>
  <si>
    <t>6 Bytes</t>
  </si>
  <si>
    <t>ENUM('pendiente','pagada','cancelada')</t>
  </si>
  <si>
    <t>ENUM('pendiente','aceptada','rechazada')</t>
  </si>
  <si>
    <t>MS SQL Server - Tablas en Detalle</t>
  </si>
  <si>
    <t>2022</t>
  </si>
  <si>
    <t>Tipo Dato - MS SQL Server</t>
  </si>
  <si>
    <t>INT IDENTITY(1,1)</t>
  </si>
  <si>
    <t>NVARCHAR(30)</t>
  </si>
  <si>
    <t>30 car. (Unicode)</t>
  </si>
  <si>
    <t>NVARCHAR(150)</t>
  </si>
  <si>
    <t>150 car. (Unicode)</t>
  </si>
  <si>
    <t>1 bit</t>
  </si>
  <si>
    <t>DEFAULT 1.</t>
  </si>
  <si>
    <t>BIGINT IDENTITY(1,1)</t>
  </si>
  <si>
    <t>DEFAULT NEWID().</t>
  </si>
  <si>
    <t>NVARCHAR(80)</t>
  </si>
  <si>
    <t>80 car. (Unicode)</t>
  </si>
  <si>
    <t>DEFAULT SYSDATETIMEOFFSET().</t>
  </si>
  <si>
    <t>NVARCHAR(100)</t>
  </si>
  <si>
    <t>100 car. (Unicode)</t>
  </si>
  <si>
    <t>CHECK (ISJSON(datos_perfil)=1).</t>
  </si>
  <si>
    <t>NVARCHAR(40)</t>
  </si>
  <si>
    <t>40 car. (Unicode)</t>
  </si>
  <si>
    <t>VARCHAR(20) + CHECK</t>
  </si>
  <si>
    <t>20 Bytes + 2</t>
  </si>
  <si>
    <t>CHECK (tipo_archivo IN ('imagen','documento','video','audio')).</t>
  </si>
  <si>
    <t>CHECK (rol_grupo IN ('miembro','moderador','administrador')).</t>
  </si>
  <si>
    <t>9 Bytes</t>
  </si>
  <si>
    <t>CHECK (estado_transaccion IN ('pendiente','pagada','cancelada')).</t>
  </si>
  <si>
    <t>DEFAULT 0.</t>
  </si>
  <si>
    <t>CHECK (estado_solicitud IN ('pendiente','aceptada','rechazada')).</t>
  </si>
  <si>
    <t>Autogenerado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</si>
</sst>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Arial"/>
      <charset val="1"/>
    </font>
    <font>
      <b/>
      <sz val="14"/>
      <color rgb="FF000000"/>
      <name val="Calibri"/>
      <charset val="1"/>
    </font>
    <font>
      <b/>
      <sz val="18"/>
      <color rgb="FF000000"/>
      <name val="Calibri"/>
      <charset val="1"/>
    </font>
    <font>
      <b/>
      <sz val="18"/>
      <color rgb="FFFFFFFF"/>
      <name val="Calibri"/>
      <charset val="1"/>
    </font>
    <font>
      <b/>
      <sz val="16"/>
      <color rgb="FF000000"/>
      <name val="Calibri"/>
      <charset val="1"/>
    </font>
    <font>
      <b/>
      <sz val="13"/>
      <color rgb="FF000000"/>
      <name val="Calibri"/>
      <charset val="1"/>
    </font>
    <font>
      <b/>
      <sz val="12"/>
      <color rgb="FFFFFFFF"/>
      <name val="Calibri"/>
      <charset val="1"/>
    </font>
    <font>
      <b/>
      <sz val="16"/>
      <color theme="1"/>
      <name val="Calibri"/>
      <charset val="1"/>
    </font>
    <font>
      <b/>
      <sz val="12"/>
      <color theme="1"/>
      <name val="Calibri"/>
      <charset val="1"/>
    </font>
    <font>
      <b/>
      <sz val="12"/>
      <color rgb="FF000000"/>
      <name val="Calibri"/>
      <charset val="1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sz val="11"/>
      <name val="Calibri"/>
      <charset val="1"/>
    </font>
    <font>
      <b/>
      <sz val="15"/>
      <color rgb="FFFFFFFF"/>
      <name val="Calibri"/>
      <charset val="1"/>
    </font>
    <font>
      <b/>
      <sz val="17"/>
      <color rgb="FFFFFFFF"/>
      <name val="Calibri"/>
      <charset val="1"/>
    </font>
    <font>
      <b/>
      <sz val="17"/>
      <color rgb="FF000000"/>
      <name val="Calibri"/>
      <charset val="1"/>
    </font>
    <font>
      <b/>
      <sz val="20"/>
      <color rgb="FFFFFFFF"/>
      <name val="Calibri"/>
      <charset val="1"/>
    </font>
    <font>
      <b/>
      <sz val="16"/>
      <color rgb="FF0000FF"/>
      <name val="Calibri"/>
      <charset val="1"/>
    </font>
    <font>
      <b/>
      <sz val="16"/>
      <color rgb="FFFFFFFF"/>
      <name val="Calibri"/>
      <charset val="1"/>
    </font>
    <font>
      <sz val="16"/>
      <color theme="1"/>
      <name val="Calibri"/>
      <charset val="1"/>
    </font>
    <font>
      <i/>
      <sz val="12"/>
      <color rgb="FF666666"/>
      <name val="Calibri"/>
      <charset val="1"/>
    </font>
  </fonts>
  <fills count="11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2CC"/>
      </patternFill>
    </fill>
    <fill>
      <patternFill patternType="solid">
        <fgColor rgb="FFC1F2F6"/>
        <bgColor rgb="FFCCFFFF"/>
      </patternFill>
    </fill>
    <fill>
      <patternFill patternType="solid">
        <fgColor rgb="FF0B5394"/>
        <bgColor rgb="FF003366"/>
      </patternFill>
    </fill>
    <fill>
      <patternFill patternType="solid">
        <fgColor rgb="FF980000"/>
        <bgColor rgb="FF800000"/>
      </patternFill>
    </fill>
    <fill>
      <patternFill patternType="solid">
        <fgColor rgb="FF7F6000"/>
        <bgColor rgb="FF666666"/>
      </patternFill>
    </fill>
    <fill>
      <patternFill patternType="solid">
        <fgColor rgb="FFCFE2F3"/>
        <bgColor rgb="FFC1F2F6"/>
      </patternFill>
    </fill>
    <fill>
      <patternFill patternType="solid">
        <fgColor rgb="FF4A86E8"/>
        <bgColor rgb="FF808080"/>
      </patternFill>
    </fill>
    <fill>
      <patternFill patternType="solid">
        <fgColor rgb="FFFFF2CC"/>
        <bgColor rgb="FFFFFFFF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9" fillId="3" borderId="1" xfId="0" applyFont="1" applyFill="1" applyBorder="1" applyAlignment="1">
      <alignment horizontal="left" vertical="center" wrapText="1"/>
    </xf>
    <xf numFmtId="0" fontId="18" fillId="5" borderId="7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16" fillId="5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 wrapText="1"/>
    </xf>
    <xf numFmtId="0" fontId="13" fillId="9" borderId="0" xfId="0" applyFont="1" applyFill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7" fillId="10" borderId="2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left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8" fillId="6" borderId="10" xfId="0" applyFont="1" applyFill="1" applyBorder="1" applyAlignment="1">
      <alignment horizontal="center" vertical="center" wrapText="1"/>
    </xf>
    <xf numFmtId="0" fontId="18" fillId="6" borderId="11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18" fillId="6" borderId="13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9" fillId="3" borderId="9" xfId="0" applyFont="1" applyFill="1" applyBorder="1" applyAlignment="1">
      <alignment horizontal="left" vertical="center" wrapText="1"/>
    </xf>
    <xf numFmtId="0" fontId="18" fillId="7" borderId="10" xfId="0" applyFont="1" applyFill="1" applyBorder="1" applyAlignment="1">
      <alignment horizontal="center" vertical="center" wrapText="1"/>
    </xf>
    <xf numFmtId="0" fontId="18" fillId="7" borderId="4" xfId="0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20" fillId="0" borderId="8" xfId="0" applyFont="1" applyBorder="1" applyAlignment="1">
      <alignment horizontal="center" vertical="center" wrapText="1"/>
    </xf>
    <xf numFmtId="0" fontId="16" fillId="6" borderId="0" xfId="0" applyFont="1" applyFill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18" fillId="6" borderId="11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8" fillId="6" borderId="14" xfId="0" applyFont="1" applyFill="1" applyBorder="1" applyAlignment="1">
      <alignment horizontal="center" vertical="center" wrapText="1"/>
    </xf>
    <xf numFmtId="0" fontId="18" fillId="6" borderId="13" xfId="0" applyFont="1" applyFill="1" applyBorder="1" applyAlignment="1">
      <alignment horizontal="center" vertical="center" wrapText="1"/>
    </xf>
    <xf numFmtId="0" fontId="18" fillId="6" borderId="15" xfId="0" applyFont="1" applyFill="1" applyBorder="1" applyAlignment="1">
      <alignment horizontal="center" vertical="center" wrapText="1"/>
    </xf>
    <xf numFmtId="0" fontId="19" fillId="3" borderId="9" xfId="0" applyFont="1" applyFill="1" applyBorder="1" applyAlignment="1">
      <alignment horizontal="left" vertical="center" wrapText="1"/>
    </xf>
    <xf numFmtId="0" fontId="19" fillId="3" borderId="9" xfId="0" applyFont="1" applyFill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6" fillId="7" borderId="0" xfId="0" applyFont="1" applyFill="1" applyAlignment="1">
      <alignment horizontal="center" vertical="center"/>
    </xf>
    <xf numFmtId="0" fontId="18" fillId="7" borderId="4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8" fillId="7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1F2F6"/>
      <rgbColor rgb="FF660066"/>
      <rgbColor rgb="FFFF8080"/>
      <rgbColor rgb="FF0B5394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88"/>
  <sheetViews>
    <sheetView zoomScaleNormal="100" workbookViewId="0">
      <selection activeCell="C7" sqref="C7"/>
    </sheetView>
  </sheetViews>
  <sheetFormatPr baseColWidth="10" defaultColWidth="12.5703125" defaultRowHeight="12.75" x14ac:dyDescent="0.2"/>
  <cols>
    <col min="1" max="1" width="4.42578125" customWidth="1"/>
    <col min="2" max="2" width="24" customWidth="1"/>
    <col min="3" max="3" width="38.42578125" customWidth="1"/>
    <col min="4" max="4" width="24.5703125" customWidth="1"/>
    <col min="5" max="5" width="22" customWidth="1"/>
    <col min="6" max="6" width="17" customWidth="1"/>
    <col min="7" max="7" width="26.140625" customWidth="1"/>
    <col min="8" max="8" width="22" customWidth="1"/>
    <col min="9" max="9" width="17" customWidth="1"/>
    <col min="10" max="10" width="28.140625" customWidth="1"/>
    <col min="11" max="11" width="22" customWidth="1"/>
    <col min="12" max="12" width="17" customWidth="1"/>
    <col min="13" max="13" width="48" customWidth="1"/>
  </cols>
  <sheetData>
    <row r="1" spans="1:17" ht="23.25" customHeight="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5"/>
      <c r="L1" s="15"/>
      <c r="M1" s="16"/>
      <c r="N1" s="16"/>
      <c r="O1" s="16"/>
      <c r="P1" s="16"/>
      <c r="Q1" s="16"/>
    </row>
    <row r="2" spans="1:17" ht="36" customHeight="1" x14ac:dyDescent="0.2">
      <c r="A2" s="17" t="s">
        <v>1</v>
      </c>
      <c r="B2" s="18" t="s">
        <v>2</v>
      </c>
      <c r="C2" s="18" t="s">
        <v>3</v>
      </c>
      <c r="D2" s="13" t="s">
        <v>4</v>
      </c>
      <c r="E2" s="13"/>
      <c r="F2" s="13"/>
      <c r="G2" s="12" t="s">
        <v>5</v>
      </c>
      <c r="H2" s="12"/>
      <c r="I2" s="12"/>
      <c r="J2" s="11" t="s">
        <v>6</v>
      </c>
      <c r="K2" s="11"/>
      <c r="L2" s="11"/>
    </row>
    <row r="3" spans="1:17" ht="30" customHeight="1" x14ac:dyDescent="0.2">
      <c r="A3" s="10"/>
      <c r="B3" s="10"/>
      <c r="C3" s="10"/>
      <c r="D3" s="19" t="s">
        <v>7</v>
      </c>
      <c r="E3" s="20" t="s">
        <v>8</v>
      </c>
      <c r="F3" s="20" t="s">
        <v>9</v>
      </c>
      <c r="G3" s="19" t="s">
        <v>7</v>
      </c>
      <c r="H3" s="20" t="s">
        <v>8</v>
      </c>
      <c r="I3" s="20" t="s">
        <v>9</v>
      </c>
      <c r="J3" s="19" t="s">
        <v>7</v>
      </c>
      <c r="K3" s="20" t="s">
        <v>8</v>
      </c>
      <c r="L3" s="20" t="s">
        <v>9</v>
      </c>
      <c r="M3" s="20" t="s">
        <v>10</v>
      </c>
    </row>
    <row r="4" spans="1:17" ht="67.5" customHeight="1" x14ac:dyDescent="0.2">
      <c r="A4" s="19">
        <v>1</v>
      </c>
      <c r="B4" s="21" t="s">
        <v>11</v>
      </c>
      <c r="C4" s="22" t="s">
        <v>12</v>
      </c>
      <c r="D4" s="23" t="s">
        <v>13</v>
      </c>
      <c r="E4" s="24" t="s">
        <v>14</v>
      </c>
      <c r="F4" s="24" t="s">
        <v>15</v>
      </c>
      <c r="G4" s="23" t="s">
        <v>16</v>
      </c>
      <c r="H4" s="24" t="s">
        <v>14</v>
      </c>
      <c r="I4" s="24" t="s">
        <v>15</v>
      </c>
      <c r="J4" s="23" t="s">
        <v>17</v>
      </c>
      <c r="K4" s="24" t="s">
        <v>14</v>
      </c>
      <c r="L4" s="24" t="s">
        <v>15</v>
      </c>
      <c r="M4" s="25" t="s">
        <v>18</v>
      </c>
    </row>
    <row r="5" spans="1:17" ht="67.5" customHeight="1" x14ac:dyDescent="0.2">
      <c r="A5" s="19">
        <f t="shared" ref="A5:A21" si="0">A4+1</f>
        <v>2</v>
      </c>
      <c r="B5" s="21" t="s">
        <v>19</v>
      </c>
      <c r="C5" s="22" t="s">
        <v>20</v>
      </c>
      <c r="D5" s="23" t="s">
        <v>19</v>
      </c>
      <c r="E5" s="24" t="s">
        <v>21</v>
      </c>
      <c r="F5" s="24" t="s">
        <v>22</v>
      </c>
      <c r="G5" s="23" t="s">
        <v>23</v>
      </c>
      <c r="H5" s="24" t="s">
        <v>24</v>
      </c>
      <c r="I5" s="24" t="s">
        <v>25</v>
      </c>
      <c r="J5" s="23" t="s">
        <v>26</v>
      </c>
      <c r="K5" s="24" t="s">
        <v>21</v>
      </c>
      <c r="L5" s="24" t="s">
        <v>22</v>
      </c>
      <c r="M5" s="25" t="s">
        <v>27</v>
      </c>
    </row>
    <row r="6" spans="1:17" ht="67.5" customHeight="1" x14ac:dyDescent="0.2">
      <c r="A6" s="19">
        <f t="shared" si="0"/>
        <v>3</v>
      </c>
      <c r="B6" s="21" t="s">
        <v>28</v>
      </c>
      <c r="C6" s="22" t="s">
        <v>29</v>
      </c>
      <c r="D6" s="23" t="s">
        <v>30</v>
      </c>
      <c r="E6" s="24" t="s">
        <v>31</v>
      </c>
      <c r="F6" s="24" t="s">
        <v>15</v>
      </c>
      <c r="G6" s="23" t="s">
        <v>32</v>
      </c>
      <c r="H6" s="24" t="s">
        <v>31</v>
      </c>
      <c r="I6" s="24" t="s">
        <v>15</v>
      </c>
      <c r="J6" s="23" t="s">
        <v>32</v>
      </c>
      <c r="K6" s="24" t="s">
        <v>31</v>
      </c>
      <c r="L6" s="24" t="s">
        <v>15</v>
      </c>
      <c r="M6" s="25" t="s">
        <v>33</v>
      </c>
    </row>
    <row r="7" spans="1:17" ht="67.5" customHeight="1" x14ac:dyDescent="0.2">
      <c r="A7" s="19">
        <f t="shared" si="0"/>
        <v>4</v>
      </c>
      <c r="B7" s="21" t="s">
        <v>34</v>
      </c>
      <c r="C7" s="22" t="s">
        <v>35</v>
      </c>
      <c r="D7" s="23" t="s">
        <v>36</v>
      </c>
      <c r="E7" s="24" t="s">
        <v>37</v>
      </c>
      <c r="F7" s="24" t="s">
        <v>38</v>
      </c>
      <c r="G7" s="23" t="s">
        <v>39</v>
      </c>
      <c r="H7" s="24" t="s">
        <v>40</v>
      </c>
      <c r="I7" s="24" t="s">
        <v>41</v>
      </c>
      <c r="J7" s="23" t="s">
        <v>39</v>
      </c>
      <c r="K7" s="24" t="s">
        <v>42</v>
      </c>
      <c r="L7" s="24" t="s">
        <v>43</v>
      </c>
      <c r="M7" s="25" t="s">
        <v>44</v>
      </c>
    </row>
    <row r="8" spans="1:17" ht="52.5" customHeight="1" x14ac:dyDescent="0.2">
      <c r="A8" s="19">
        <f t="shared" si="0"/>
        <v>5</v>
      </c>
      <c r="B8" s="21" t="s">
        <v>45</v>
      </c>
      <c r="C8" s="22" t="s">
        <v>46</v>
      </c>
      <c r="D8" s="23" t="s">
        <v>47</v>
      </c>
      <c r="E8" s="24" t="s">
        <v>48</v>
      </c>
      <c r="F8" s="24" t="s">
        <v>49</v>
      </c>
      <c r="G8" s="23" t="s">
        <v>50</v>
      </c>
      <c r="H8" s="24" t="s">
        <v>51</v>
      </c>
      <c r="I8" s="24" t="s">
        <v>49</v>
      </c>
      <c r="J8" s="23" t="s">
        <v>52</v>
      </c>
      <c r="K8" s="24" t="s">
        <v>51</v>
      </c>
      <c r="L8" s="24" t="s">
        <v>53</v>
      </c>
      <c r="M8" s="25" t="s">
        <v>54</v>
      </c>
    </row>
    <row r="9" spans="1:17" ht="67.5" customHeight="1" x14ac:dyDescent="0.2">
      <c r="A9" s="19">
        <f t="shared" si="0"/>
        <v>6</v>
      </c>
      <c r="B9" s="21" t="s">
        <v>55</v>
      </c>
      <c r="C9" s="22" t="s">
        <v>56</v>
      </c>
      <c r="D9" s="23" t="s">
        <v>57</v>
      </c>
      <c r="E9" s="24" t="s">
        <v>58</v>
      </c>
      <c r="F9" s="24" t="s">
        <v>59</v>
      </c>
      <c r="G9" s="23" t="s">
        <v>60</v>
      </c>
      <c r="H9" s="24" t="s">
        <v>61</v>
      </c>
      <c r="I9" s="24" t="s">
        <v>62</v>
      </c>
      <c r="J9" s="23" t="s">
        <v>63</v>
      </c>
      <c r="K9" s="24" t="s">
        <v>64</v>
      </c>
      <c r="L9" s="24" t="s">
        <v>65</v>
      </c>
      <c r="M9" s="25" t="s">
        <v>66</v>
      </c>
    </row>
    <row r="10" spans="1:17" ht="52.5" customHeight="1" x14ac:dyDescent="0.2">
      <c r="A10" s="19">
        <f t="shared" si="0"/>
        <v>7</v>
      </c>
      <c r="B10" s="21" t="s">
        <v>67</v>
      </c>
      <c r="C10" s="22" t="s">
        <v>68</v>
      </c>
      <c r="D10" s="23" t="s">
        <v>69</v>
      </c>
      <c r="E10" s="24" t="s">
        <v>70</v>
      </c>
      <c r="F10" s="24" t="s">
        <v>71</v>
      </c>
      <c r="G10" s="23" t="s">
        <v>69</v>
      </c>
      <c r="H10" s="24" t="s">
        <v>72</v>
      </c>
      <c r="I10" s="24" t="s">
        <v>73</v>
      </c>
      <c r="J10" s="23" t="s">
        <v>69</v>
      </c>
      <c r="K10" s="24" t="s">
        <v>74</v>
      </c>
      <c r="L10" s="24" t="s">
        <v>71</v>
      </c>
      <c r="M10" s="25" t="s">
        <v>75</v>
      </c>
    </row>
    <row r="11" spans="1:17" ht="52.5" customHeight="1" x14ac:dyDescent="0.2">
      <c r="A11" s="19">
        <f t="shared" si="0"/>
        <v>8</v>
      </c>
      <c r="B11" s="21" t="s">
        <v>76</v>
      </c>
      <c r="C11" s="22" t="s">
        <v>77</v>
      </c>
      <c r="D11" s="23" t="s">
        <v>78</v>
      </c>
      <c r="E11" s="24" t="s">
        <v>79</v>
      </c>
      <c r="F11" s="24" t="s">
        <v>80</v>
      </c>
      <c r="G11" s="23" t="s">
        <v>78</v>
      </c>
      <c r="H11" s="24" t="s">
        <v>81</v>
      </c>
      <c r="I11" s="24" t="s">
        <v>82</v>
      </c>
      <c r="J11" s="23" t="s">
        <v>78</v>
      </c>
      <c r="K11" s="24" t="s">
        <v>83</v>
      </c>
      <c r="L11" s="24" t="s">
        <v>82</v>
      </c>
      <c r="M11" s="25" t="s">
        <v>84</v>
      </c>
    </row>
    <row r="12" spans="1:17" ht="67.5" customHeight="1" x14ac:dyDescent="0.2">
      <c r="A12" s="19">
        <f t="shared" si="0"/>
        <v>9</v>
      </c>
      <c r="B12" s="21" t="s">
        <v>85</v>
      </c>
      <c r="C12" s="22" t="s">
        <v>86</v>
      </c>
      <c r="D12" s="23" t="s">
        <v>87</v>
      </c>
      <c r="E12" s="24" t="s">
        <v>88</v>
      </c>
      <c r="F12" s="24" t="s">
        <v>89</v>
      </c>
      <c r="G12" s="23" t="s">
        <v>90</v>
      </c>
      <c r="H12" s="24" t="s">
        <v>91</v>
      </c>
      <c r="I12" s="24" t="s">
        <v>92</v>
      </c>
      <c r="J12" s="23" t="s">
        <v>93</v>
      </c>
      <c r="K12" s="24" t="s">
        <v>94</v>
      </c>
      <c r="L12" s="24" t="s">
        <v>95</v>
      </c>
      <c r="M12" s="25" t="s">
        <v>96</v>
      </c>
    </row>
    <row r="13" spans="1:17" ht="52.5" customHeight="1" x14ac:dyDescent="0.2">
      <c r="A13" s="19">
        <f t="shared" si="0"/>
        <v>10</v>
      </c>
      <c r="B13" s="21" t="s">
        <v>97</v>
      </c>
      <c r="C13" s="22" t="s">
        <v>98</v>
      </c>
      <c r="D13" s="23" t="s">
        <v>99</v>
      </c>
      <c r="E13" s="24" t="s">
        <v>100</v>
      </c>
      <c r="F13" s="24" t="s">
        <v>89</v>
      </c>
      <c r="G13" s="23" t="s">
        <v>99</v>
      </c>
      <c r="H13" s="24" t="s">
        <v>101</v>
      </c>
      <c r="I13" s="24" t="s">
        <v>102</v>
      </c>
      <c r="J13" s="23" t="s">
        <v>99</v>
      </c>
      <c r="K13" s="24" t="s">
        <v>103</v>
      </c>
      <c r="L13" s="24" t="s">
        <v>104</v>
      </c>
      <c r="M13" s="25" t="s">
        <v>105</v>
      </c>
    </row>
    <row r="14" spans="1:17" ht="67.5" customHeight="1" x14ac:dyDescent="0.2">
      <c r="A14" s="19">
        <f t="shared" si="0"/>
        <v>11</v>
      </c>
      <c r="B14" s="21" t="s">
        <v>106</v>
      </c>
      <c r="C14" s="22" t="s">
        <v>107</v>
      </c>
      <c r="D14" s="23" t="s">
        <v>108</v>
      </c>
      <c r="E14" s="24" t="s">
        <v>109</v>
      </c>
      <c r="F14" s="24" t="s">
        <v>110</v>
      </c>
      <c r="G14" s="23" t="s">
        <v>108</v>
      </c>
      <c r="H14" s="24" t="s">
        <v>109</v>
      </c>
      <c r="I14" s="24" t="s">
        <v>111</v>
      </c>
      <c r="J14" s="23" t="s">
        <v>112</v>
      </c>
      <c r="K14" s="24" t="s">
        <v>109</v>
      </c>
      <c r="L14" s="24" t="s">
        <v>113</v>
      </c>
      <c r="M14" s="25" t="s">
        <v>114</v>
      </c>
    </row>
    <row r="15" spans="1:17" ht="67.5" customHeight="1" x14ac:dyDescent="0.2">
      <c r="A15" s="19">
        <f t="shared" si="0"/>
        <v>12</v>
      </c>
      <c r="B15" s="21" t="s">
        <v>115</v>
      </c>
      <c r="C15" s="22" t="s">
        <v>116</v>
      </c>
      <c r="D15" s="23" t="s">
        <v>117</v>
      </c>
      <c r="E15" s="24" t="s">
        <v>118</v>
      </c>
      <c r="F15" s="24" t="s">
        <v>119</v>
      </c>
      <c r="G15" s="23" t="s">
        <v>120</v>
      </c>
      <c r="H15" s="24" t="s">
        <v>121</v>
      </c>
      <c r="I15" s="24" t="s">
        <v>122</v>
      </c>
      <c r="J15" s="23" t="s">
        <v>123</v>
      </c>
      <c r="K15" s="24" t="s">
        <v>124</v>
      </c>
      <c r="L15" s="24" t="s">
        <v>125</v>
      </c>
      <c r="M15" s="25" t="s">
        <v>126</v>
      </c>
    </row>
    <row r="16" spans="1:17" ht="67.5" customHeight="1" x14ac:dyDescent="0.2">
      <c r="A16" s="19">
        <f t="shared" si="0"/>
        <v>13</v>
      </c>
      <c r="B16" s="21" t="s">
        <v>127</v>
      </c>
      <c r="C16" s="22" t="s">
        <v>128</v>
      </c>
      <c r="D16" s="23" t="s">
        <v>129</v>
      </c>
      <c r="E16" s="24" t="s">
        <v>130</v>
      </c>
      <c r="F16" s="24" t="s">
        <v>131</v>
      </c>
      <c r="G16" s="23" t="s">
        <v>129</v>
      </c>
      <c r="H16" s="24" t="s">
        <v>132</v>
      </c>
      <c r="I16" s="24" t="s">
        <v>133</v>
      </c>
      <c r="J16" s="23" t="s">
        <v>134</v>
      </c>
      <c r="K16" s="24" t="s">
        <v>135</v>
      </c>
      <c r="L16" s="24" t="s">
        <v>136</v>
      </c>
      <c r="M16" s="25" t="s">
        <v>137</v>
      </c>
    </row>
    <row r="17" spans="1:13" ht="52.5" customHeight="1" x14ac:dyDescent="0.2">
      <c r="A17" s="19">
        <f t="shared" si="0"/>
        <v>14</v>
      </c>
      <c r="B17" s="21" t="s">
        <v>138</v>
      </c>
      <c r="C17" s="22" t="s">
        <v>139</v>
      </c>
      <c r="D17" s="23" t="s">
        <v>140</v>
      </c>
      <c r="E17" s="24" t="s">
        <v>141</v>
      </c>
      <c r="F17" s="24" t="s">
        <v>59</v>
      </c>
      <c r="G17" s="23" t="s">
        <v>142</v>
      </c>
      <c r="H17" s="24" t="s">
        <v>143</v>
      </c>
      <c r="I17" s="24" t="s">
        <v>144</v>
      </c>
      <c r="J17" s="23" t="s">
        <v>145</v>
      </c>
      <c r="K17" s="24" t="s">
        <v>146</v>
      </c>
      <c r="L17" s="24" t="s">
        <v>65</v>
      </c>
      <c r="M17" s="25" t="s">
        <v>147</v>
      </c>
    </row>
    <row r="18" spans="1:13" ht="52.5" customHeight="1" x14ac:dyDescent="0.2">
      <c r="A18" s="19">
        <f t="shared" si="0"/>
        <v>15</v>
      </c>
      <c r="B18" s="21" t="s">
        <v>148</v>
      </c>
      <c r="C18" s="22" t="s">
        <v>149</v>
      </c>
      <c r="D18" s="23" t="s">
        <v>148</v>
      </c>
      <c r="E18" s="24" t="s">
        <v>150</v>
      </c>
      <c r="F18" s="24" t="s">
        <v>110</v>
      </c>
      <c r="G18" s="23" t="s">
        <v>148</v>
      </c>
      <c r="H18" s="24" t="s">
        <v>151</v>
      </c>
      <c r="I18" s="24" t="s">
        <v>110</v>
      </c>
      <c r="J18" s="23" t="s">
        <v>152</v>
      </c>
      <c r="K18" s="24" t="s">
        <v>153</v>
      </c>
      <c r="L18" s="24" t="s">
        <v>65</v>
      </c>
      <c r="M18" s="25" t="s">
        <v>154</v>
      </c>
    </row>
    <row r="19" spans="1:13" ht="67.5" customHeight="1" x14ac:dyDescent="0.2">
      <c r="A19" s="19">
        <f t="shared" si="0"/>
        <v>16</v>
      </c>
      <c r="B19" s="21" t="s">
        <v>155</v>
      </c>
      <c r="C19" s="22" t="s">
        <v>156</v>
      </c>
      <c r="D19" s="23" t="s">
        <v>155</v>
      </c>
      <c r="E19" s="24" t="s">
        <v>157</v>
      </c>
      <c r="F19" s="24" t="s">
        <v>110</v>
      </c>
      <c r="G19" s="23" t="s">
        <v>148</v>
      </c>
      <c r="H19" s="24" t="s">
        <v>158</v>
      </c>
      <c r="I19" s="24" t="s">
        <v>110</v>
      </c>
      <c r="J19" s="23" t="s">
        <v>152</v>
      </c>
      <c r="K19" s="24" t="s">
        <v>159</v>
      </c>
      <c r="L19" s="24" t="s">
        <v>65</v>
      </c>
      <c r="M19" s="25" t="s">
        <v>160</v>
      </c>
    </row>
    <row r="20" spans="1:13" ht="67.5" customHeight="1" x14ac:dyDescent="0.2">
      <c r="A20" s="19">
        <f t="shared" si="0"/>
        <v>17</v>
      </c>
      <c r="B20" s="21" t="s">
        <v>161</v>
      </c>
      <c r="C20" s="22" t="s">
        <v>162</v>
      </c>
      <c r="D20" s="23" t="s">
        <v>163</v>
      </c>
      <c r="E20" s="24" t="s">
        <v>164</v>
      </c>
      <c r="F20" s="24" t="s">
        <v>110</v>
      </c>
      <c r="G20" s="23" t="s">
        <v>165</v>
      </c>
      <c r="H20" s="24" t="s">
        <v>164</v>
      </c>
      <c r="I20" s="24" t="s">
        <v>110</v>
      </c>
      <c r="J20" s="23" t="s">
        <v>166</v>
      </c>
      <c r="K20" s="24" t="s">
        <v>164</v>
      </c>
      <c r="L20" s="24" t="s">
        <v>110</v>
      </c>
      <c r="M20" s="25" t="s">
        <v>167</v>
      </c>
    </row>
    <row r="21" spans="1:13" ht="37.5" customHeight="1" x14ac:dyDescent="0.2">
      <c r="A21" s="19">
        <f t="shared" si="0"/>
        <v>18</v>
      </c>
      <c r="B21" s="21" t="s">
        <v>168</v>
      </c>
      <c r="C21" s="22" t="s">
        <v>169</v>
      </c>
      <c r="D21" s="23" t="s">
        <v>170</v>
      </c>
      <c r="E21" s="24" t="s">
        <v>171</v>
      </c>
      <c r="F21" s="24" t="s">
        <v>110</v>
      </c>
      <c r="G21" s="23" t="s">
        <v>172</v>
      </c>
      <c r="H21" s="24" t="s">
        <v>171</v>
      </c>
      <c r="I21" s="24" t="s">
        <v>110</v>
      </c>
      <c r="J21" s="23" t="s">
        <v>173</v>
      </c>
      <c r="K21" s="24" t="s">
        <v>171</v>
      </c>
      <c r="L21" s="24" t="s">
        <v>110</v>
      </c>
      <c r="M21" s="25" t="s">
        <v>174</v>
      </c>
    </row>
    <row r="22" spans="1:13" ht="15.75" customHeight="1" x14ac:dyDescent="0.2"/>
    <row r="23" spans="1:13" ht="15.75" customHeight="1" x14ac:dyDescent="0.2"/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5">
    <mergeCell ref="A1:J1"/>
    <mergeCell ref="D2:F2"/>
    <mergeCell ref="G2:I2"/>
    <mergeCell ref="J2:L2"/>
    <mergeCell ref="A3:C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1"/>
  <sheetViews>
    <sheetView topLeftCell="A24" zoomScaleNormal="100" workbookViewId="0">
      <selection sqref="A1:D1"/>
    </sheetView>
  </sheetViews>
  <sheetFormatPr baseColWidth="10" defaultColWidth="12.5703125" defaultRowHeight="12.75" x14ac:dyDescent="0.2"/>
  <cols>
    <col min="1" max="1" width="7" customWidth="1"/>
    <col min="2" max="2" width="37.42578125" customWidth="1"/>
    <col min="3" max="3" width="71.85546875" customWidth="1"/>
    <col min="4" max="4" width="58.5703125" customWidth="1"/>
  </cols>
  <sheetData>
    <row r="1" spans="1:9" ht="28.5" customHeight="1" x14ac:dyDescent="0.2">
      <c r="A1" s="9" t="s">
        <v>175</v>
      </c>
      <c r="B1" s="9"/>
      <c r="C1" s="9"/>
      <c r="D1" s="9"/>
      <c r="E1" s="16"/>
      <c r="F1" s="16"/>
      <c r="G1" s="16"/>
      <c r="H1" s="16"/>
      <c r="I1" s="16"/>
    </row>
    <row r="2" spans="1:9" ht="69" customHeight="1" x14ac:dyDescent="0.2">
      <c r="A2" s="8" t="s">
        <v>176</v>
      </c>
      <c r="B2" s="8"/>
      <c r="C2" s="8"/>
      <c r="D2" s="8"/>
      <c r="E2" s="16"/>
      <c r="F2" s="16"/>
      <c r="G2" s="16"/>
      <c r="H2" s="16"/>
      <c r="I2" s="16"/>
    </row>
    <row r="3" spans="1:9" ht="36" customHeight="1" x14ac:dyDescent="0.2">
      <c r="A3" s="26" t="s">
        <v>1</v>
      </c>
      <c r="B3" s="26" t="s">
        <v>177</v>
      </c>
      <c r="C3" s="17" t="s">
        <v>178</v>
      </c>
      <c r="D3" s="17" t="s">
        <v>10</v>
      </c>
    </row>
    <row r="4" spans="1:9" ht="54" customHeight="1" x14ac:dyDescent="0.2">
      <c r="A4" s="27">
        <v>1</v>
      </c>
      <c r="B4" s="28" t="s">
        <v>179</v>
      </c>
      <c r="C4" s="28" t="s">
        <v>180</v>
      </c>
      <c r="D4" s="28" t="s">
        <v>181</v>
      </c>
    </row>
    <row r="5" spans="1:9" ht="54" customHeight="1" x14ac:dyDescent="0.2">
      <c r="A5" s="27">
        <f t="shared" ref="A5:A28" si="0">A4+1</f>
        <v>2</v>
      </c>
      <c r="B5" s="28" t="s">
        <v>182</v>
      </c>
      <c r="C5" s="28" t="s">
        <v>183</v>
      </c>
      <c r="D5" s="28" t="s">
        <v>184</v>
      </c>
    </row>
    <row r="6" spans="1:9" ht="54" customHeight="1" x14ac:dyDescent="0.2">
      <c r="A6" s="27">
        <f t="shared" si="0"/>
        <v>3</v>
      </c>
      <c r="B6" s="28" t="s">
        <v>185</v>
      </c>
      <c r="C6" s="28" t="s">
        <v>186</v>
      </c>
      <c r="D6" s="28" t="s">
        <v>187</v>
      </c>
    </row>
    <row r="7" spans="1:9" ht="54" customHeight="1" x14ac:dyDescent="0.2">
      <c r="A7" s="27">
        <f t="shared" si="0"/>
        <v>4</v>
      </c>
      <c r="B7" s="28" t="s">
        <v>188</v>
      </c>
      <c r="C7" s="28" t="s">
        <v>189</v>
      </c>
      <c r="D7" s="28" t="s">
        <v>190</v>
      </c>
    </row>
    <row r="8" spans="1:9" ht="54" customHeight="1" x14ac:dyDescent="0.2">
      <c r="A8" s="27">
        <f t="shared" si="0"/>
        <v>5</v>
      </c>
      <c r="B8" s="28" t="s">
        <v>191</v>
      </c>
      <c r="C8" s="28" t="s">
        <v>192</v>
      </c>
      <c r="D8" s="28" t="s">
        <v>193</v>
      </c>
    </row>
    <row r="9" spans="1:9" ht="54" customHeight="1" x14ac:dyDescent="0.2">
      <c r="A9" s="27">
        <f t="shared" si="0"/>
        <v>6</v>
      </c>
      <c r="B9" s="28" t="s">
        <v>194</v>
      </c>
      <c r="C9" s="28" t="s">
        <v>195</v>
      </c>
      <c r="D9" s="28" t="s">
        <v>196</v>
      </c>
    </row>
    <row r="10" spans="1:9" ht="54" customHeight="1" x14ac:dyDescent="0.2">
      <c r="A10" s="27">
        <f t="shared" si="0"/>
        <v>7</v>
      </c>
      <c r="B10" s="28" t="s">
        <v>197</v>
      </c>
      <c r="C10" s="28" t="s">
        <v>198</v>
      </c>
      <c r="D10" s="28" t="s">
        <v>199</v>
      </c>
    </row>
    <row r="11" spans="1:9" ht="54" customHeight="1" x14ac:dyDescent="0.2">
      <c r="A11" s="27">
        <f t="shared" si="0"/>
        <v>8</v>
      </c>
      <c r="B11" s="28" t="s">
        <v>200</v>
      </c>
      <c r="C11" s="28" t="s">
        <v>201</v>
      </c>
      <c r="D11" s="28" t="s">
        <v>202</v>
      </c>
    </row>
    <row r="12" spans="1:9" ht="54" customHeight="1" x14ac:dyDescent="0.2">
      <c r="A12" s="27">
        <f t="shared" si="0"/>
        <v>9</v>
      </c>
      <c r="B12" s="28" t="s">
        <v>203</v>
      </c>
      <c r="C12" s="28" t="s">
        <v>204</v>
      </c>
      <c r="D12" s="28" t="s">
        <v>205</v>
      </c>
    </row>
    <row r="13" spans="1:9" ht="54" customHeight="1" x14ac:dyDescent="0.2">
      <c r="A13" s="27">
        <f t="shared" si="0"/>
        <v>10</v>
      </c>
      <c r="B13" s="28" t="s">
        <v>206</v>
      </c>
      <c r="C13" s="28" t="s">
        <v>207</v>
      </c>
      <c r="D13" s="28" t="s">
        <v>208</v>
      </c>
    </row>
    <row r="14" spans="1:9" ht="54" customHeight="1" x14ac:dyDescent="0.2">
      <c r="A14" s="27">
        <f t="shared" si="0"/>
        <v>11</v>
      </c>
      <c r="B14" s="28" t="s">
        <v>209</v>
      </c>
      <c r="C14" s="28" t="s">
        <v>210</v>
      </c>
      <c r="D14" s="28" t="s">
        <v>211</v>
      </c>
    </row>
    <row r="15" spans="1:9" ht="54" customHeight="1" x14ac:dyDescent="0.2">
      <c r="A15" s="27">
        <f t="shared" si="0"/>
        <v>12</v>
      </c>
      <c r="B15" s="28" t="s">
        <v>212</v>
      </c>
      <c r="C15" s="28" t="s">
        <v>213</v>
      </c>
      <c r="D15" s="28" t="s">
        <v>214</v>
      </c>
    </row>
    <row r="16" spans="1:9" ht="54" customHeight="1" x14ac:dyDescent="0.2">
      <c r="A16" s="27">
        <f t="shared" si="0"/>
        <v>13</v>
      </c>
      <c r="B16" s="28" t="s">
        <v>215</v>
      </c>
      <c r="C16" s="28" t="s">
        <v>216</v>
      </c>
      <c r="D16" s="28" t="s">
        <v>217</v>
      </c>
    </row>
    <row r="17" spans="1:4" ht="54" customHeight="1" x14ac:dyDescent="0.2">
      <c r="A17" s="27">
        <f t="shared" si="0"/>
        <v>14</v>
      </c>
      <c r="B17" s="28" t="s">
        <v>218</v>
      </c>
      <c r="C17" s="28" t="s">
        <v>219</v>
      </c>
      <c r="D17" s="28" t="s">
        <v>220</v>
      </c>
    </row>
    <row r="18" spans="1:4" ht="54" customHeight="1" x14ac:dyDescent="0.2">
      <c r="A18" s="27">
        <f t="shared" si="0"/>
        <v>15</v>
      </c>
      <c r="B18" s="28" t="s">
        <v>221</v>
      </c>
      <c r="C18" s="28" t="s">
        <v>222</v>
      </c>
      <c r="D18" s="28" t="s">
        <v>223</v>
      </c>
    </row>
    <row r="19" spans="1:4" ht="54" customHeight="1" x14ac:dyDescent="0.2">
      <c r="A19" s="27">
        <f t="shared" si="0"/>
        <v>16</v>
      </c>
      <c r="B19" s="28" t="s">
        <v>224</v>
      </c>
      <c r="C19" s="28" t="s">
        <v>225</v>
      </c>
      <c r="D19" s="28" t="s">
        <v>226</v>
      </c>
    </row>
    <row r="20" spans="1:4" ht="54" customHeight="1" x14ac:dyDescent="0.2">
      <c r="A20" s="27">
        <f t="shared" si="0"/>
        <v>17</v>
      </c>
      <c r="B20" s="28" t="s">
        <v>227</v>
      </c>
      <c r="C20" s="28" t="s">
        <v>228</v>
      </c>
      <c r="D20" s="28" t="s">
        <v>229</v>
      </c>
    </row>
    <row r="21" spans="1:4" ht="54" customHeight="1" x14ac:dyDescent="0.2">
      <c r="A21" s="27">
        <f t="shared" si="0"/>
        <v>18</v>
      </c>
      <c r="B21" s="28" t="s">
        <v>230</v>
      </c>
      <c r="C21" s="28" t="s">
        <v>231</v>
      </c>
      <c r="D21" s="28" t="s">
        <v>232</v>
      </c>
    </row>
    <row r="22" spans="1:4" ht="54" customHeight="1" x14ac:dyDescent="0.2">
      <c r="A22" s="27">
        <f t="shared" si="0"/>
        <v>19</v>
      </c>
      <c r="B22" s="28" t="s">
        <v>233</v>
      </c>
      <c r="C22" s="28" t="s">
        <v>234</v>
      </c>
      <c r="D22" s="28" t="s">
        <v>235</v>
      </c>
    </row>
    <row r="23" spans="1:4" ht="54" customHeight="1" x14ac:dyDescent="0.2">
      <c r="A23" s="27">
        <f t="shared" si="0"/>
        <v>20</v>
      </c>
      <c r="B23" s="28" t="s">
        <v>236</v>
      </c>
      <c r="C23" s="28" t="s">
        <v>237</v>
      </c>
      <c r="D23" s="28" t="s">
        <v>238</v>
      </c>
    </row>
    <row r="24" spans="1:4" ht="54" customHeight="1" x14ac:dyDescent="0.2">
      <c r="A24" s="27">
        <f t="shared" si="0"/>
        <v>21</v>
      </c>
      <c r="B24" s="28" t="s">
        <v>239</v>
      </c>
      <c r="C24" s="28" t="s">
        <v>240</v>
      </c>
      <c r="D24" s="28" t="s">
        <v>241</v>
      </c>
    </row>
    <row r="25" spans="1:4" ht="54" customHeight="1" x14ac:dyDescent="0.2">
      <c r="A25" s="27">
        <f t="shared" si="0"/>
        <v>22</v>
      </c>
      <c r="B25" s="28" t="s">
        <v>242</v>
      </c>
      <c r="C25" s="28" t="s">
        <v>243</v>
      </c>
      <c r="D25" s="28" t="s">
        <v>244</v>
      </c>
    </row>
    <row r="26" spans="1:4" ht="54" customHeight="1" x14ac:dyDescent="0.2">
      <c r="A26" s="27">
        <f t="shared" si="0"/>
        <v>23</v>
      </c>
      <c r="B26" s="28" t="s">
        <v>245</v>
      </c>
      <c r="C26" s="28" t="s">
        <v>246</v>
      </c>
      <c r="D26" s="28" t="s">
        <v>247</v>
      </c>
    </row>
    <row r="27" spans="1:4" ht="54" customHeight="1" x14ac:dyDescent="0.2">
      <c r="A27" s="27">
        <f t="shared" si="0"/>
        <v>24</v>
      </c>
      <c r="B27" s="28" t="s">
        <v>248</v>
      </c>
      <c r="C27" s="28" t="s">
        <v>249</v>
      </c>
      <c r="D27" s="28" t="s">
        <v>250</v>
      </c>
    </row>
    <row r="28" spans="1:4" ht="54" customHeight="1" x14ac:dyDescent="0.2">
      <c r="A28" s="27">
        <f t="shared" si="0"/>
        <v>25</v>
      </c>
      <c r="B28" s="28" t="s">
        <v>251</v>
      </c>
      <c r="C28" s="28" t="s">
        <v>252</v>
      </c>
      <c r="D28" s="28" t="s">
        <v>253</v>
      </c>
    </row>
    <row r="29" spans="1:4" ht="15.75" customHeight="1" x14ac:dyDescent="0.2"/>
    <row r="30" spans="1:4" ht="15.75" customHeight="1" x14ac:dyDescent="0.2"/>
    <row r="31" spans="1:4" ht="15.75" customHeight="1" x14ac:dyDescent="0.2"/>
    <row r="32" spans="1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71"/>
  <sheetViews>
    <sheetView zoomScale="55" zoomScaleNormal="55" workbookViewId="0">
      <selection activeCell="X5" sqref="X5:Y5"/>
    </sheetView>
  </sheetViews>
  <sheetFormatPr baseColWidth="10" defaultColWidth="12.5703125" defaultRowHeight="12.75" x14ac:dyDescent="0.2"/>
  <cols>
    <col min="1" max="1" width="5.5703125" customWidth="1"/>
    <col min="2" max="2" width="33.7109375" customWidth="1"/>
    <col min="3" max="3" width="13.42578125" customWidth="1"/>
    <col min="4" max="5" width="3.85546875" customWidth="1"/>
    <col min="6" max="6" width="21.5703125" customWidth="1"/>
    <col min="7" max="9" width="3.85546875" customWidth="1"/>
    <col min="10" max="10" width="20.28515625" customWidth="1"/>
    <col min="11" max="22" width="3.85546875" customWidth="1"/>
    <col min="23" max="23" width="4.5703125" customWidth="1"/>
    <col min="24" max="24" width="17" customWidth="1"/>
    <col min="25" max="25" width="30.42578125" customWidth="1"/>
  </cols>
  <sheetData>
    <row r="1" spans="1:25" ht="39" customHeight="1" x14ac:dyDescent="0.2">
      <c r="A1" s="7" t="s">
        <v>254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28.5" customHeight="1" x14ac:dyDescent="0.2"/>
    <row r="3" spans="1:25" ht="54" customHeight="1" x14ac:dyDescent="0.2">
      <c r="A3" s="29">
        <f>'Invetario de Tablas'!A4</f>
        <v>1</v>
      </c>
      <c r="B3" s="30" t="s">
        <v>177</v>
      </c>
      <c r="C3" s="6" t="str">
        <f>'Invetario de Tablas'!B4</f>
        <v>rol</v>
      </c>
      <c r="D3" s="6"/>
      <c r="E3" s="6"/>
      <c r="F3" s="6"/>
      <c r="G3" s="5" t="s">
        <v>178</v>
      </c>
      <c r="H3" s="5"/>
      <c r="I3" s="5"/>
      <c r="J3" s="5"/>
      <c r="K3" s="4" t="str">
        <f>'Invetario de Tablas'!C4</f>
        <v>Catálogo de roles del sistema (administrador, auxiliar, miembro, visitante).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31" t="s">
        <v>255</v>
      </c>
      <c r="Y3" s="32" t="s">
        <v>256</v>
      </c>
    </row>
    <row r="4" spans="1:25" ht="45" customHeight="1" x14ac:dyDescent="0.2">
      <c r="A4" s="33" t="s">
        <v>1</v>
      </c>
      <c r="B4" s="34" t="s">
        <v>257</v>
      </c>
      <c r="C4" s="3" t="s">
        <v>258</v>
      </c>
      <c r="D4" s="3"/>
      <c r="E4" s="3"/>
      <c r="F4" s="3"/>
      <c r="G4" s="3" t="s">
        <v>259</v>
      </c>
      <c r="H4" s="3"/>
      <c r="I4" s="3"/>
      <c r="J4" s="3"/>
      <c r="K4" s="3" t="s">
        <v>260</v>
      </c>
      <c r="L4" s="3"/>
      <c r="M4" s="3"/>
      <c r="N4" s="3"/>
      <c r="O4" s="3" t="s">
        <v>261</v>
      </c>
      <c r="P4" s="3"/>
      <c r="Q4" s="3"/>
      <c r="R4" s="3" t="s">
        <v>262</v>
      </c>
      <c r="S4" s="3"/>
      <c r="T4" s="3" t="s">
        <v>263</v>
      </c>
      <c r="U4" s="3"/>
      <c r="V4" s="3" t="s">
        <v>264</v>
      </c>
      <c r="W4" s="3"/>
      <c r="X4" s="2" t="s">
        <v>265</v>
      </c>
      <c r="Y4" s="2"/>
    </row>
    <row r="5" spans="1:25" ht="39.75" customHeight="1" x14ac:dyDescent="0.2">
      <c r="A5" s="35">
        <v>1</v>
      </c>
      <c r="B5" s="36" t="s">
        <v>266</v>
      </c>
      <c r="C5" s="1" t="s">
        <v>267</v>
      </c>
      <c r="D5" s="1"/>
      <c r="E5" s="1"/>
      <c r="F5" s="1"/>
      <c r="G5" s="1" t="s">
        <v>268</v>
      </c>
      <c r="H5" s="1"/>
      <c r="I5" s="1"/>
      <c r="J5" s="1"/>
      <c r="K5" s="1" t="s">
        <v>80</v>
      </c>
      <c r="L5" s="1"/>
      <c r="M5" s="1"/>
      <c r="N5" s="1"/>
      <c r="O5" s="48" t="s">
        <v>269</v>
      </c>
      <c r="P5" s="48"/>
      <c r="Q5" s="48"/>
      <c r="R5" s="48" t="s">
        <v>270</v>
      </c>
      <c r="S5" s="48"/>
      <c r="T5" s="48"/>
      <c r="U5" s="48"/>
      <c r="V5" s="48"/>
      <c r="W5" s="48"/>
      <c r="X5" s="49" t="s">
        <v>637</v>
      </c>
      <c r="Y5" s="49"/>
    </row>
    <row r="6" spans="1:25" ht="69" customHeight="1" x14ac:dyDescent="0.2">
      <c r="A6" s="35">
        <v>2</v>
      </c>
      <c r="B6" s="36" t="s">
        <v>272</v>
      </c>
      <c r="C6" s="1" t="s">
        <v>273</v>
      </c>
      <c r="D6" s="1"/>
      <c r="E6" s="1"/>
      <c r="F6" s="1"/>
      <c r="G6" s="1" t="s">
        <v>274</v>
      </c>
      <c r="H6" s="1"/>
      <c r="I6" s="1"/>
      <c r="J6" s="1"/>
      <c r="K6" s="1" t="s">
        <v>275</v>
      </c>
      <c r="L6" s="1"/>
      <c r="M6" s="1"/>
      <c r="N6" s="1"/>
      <c r="O6" s="48" t="s">
        <v>269</v>
      </c>
      <c r="P6" s="48"/>
      <c r="Q6" s="48"/>
      <c r="R6" s="48"/>
      <c r="S6" s="48"/>
      <c r="T6" s="48"/>
      <c r="U6" s="48"/>
      <c r="V6" s="48" t="s">
        <v>270</v>
      </c>
      <c r="W6" s="48"/>
      <c r="X6" s="49"/>
      <c r="Y6" s="49"/>
    </row>
    <row r="7" spans="1:25" ht="48" customHeight="1" x14ac:dyDescent="0.2">
      <c r="A7" s="35">
        <v>3</v>
      </c>
      <c r="B7" s="36" t="s">
        <v>276</v>
      </c>
      <c r="C7" s="1" t="s">
        <v>277</v>
      </c>
      <c r="D7" s="1"/>
      <c r="E7" s="1"/>
      <c r="F7" s="1"/>
      <c r="G7" s="1" t="s">
        <v>278</v>
      </c>
      <c r="H7" s="1"/>
      <c r="I7" s="1"/>
      <c r="J7" s="1"/>
      <c r="K7" s="1" t="s">
        <v>82</v>
      </c>
      <c r="L7" s="1"/>
      <c r="M7" s="1"/>
      <c r="N7" s="1"/>
      <c r="O7" s="48" t="s">
        <v>269</v>
      </c>
      <c r="P7" s="48"/>
      <c r="Q7" s="48"/>
      <c r="R7" s="48"/>
      <c r="S7" s="48"/>
      <c r="T7" s="48"/>
      <c r="U7" s="48"/>
      <c r="V7" s="48" t="s">
        <v>270</v>
      </c>
      <c r="W7" s="48"/>
      <c r="X7" s="49"/>
      <c r="Y7" s="49"/>
    </row>
    <row r="8" spans="1:25" ht="48" customHeight="1" x14ac:dyDescent="0.2">
      <c r="A8" s="35">
        <v>4</v>
      </c>
      <c r="B8" s="36" t="s">
        <v>279</v>
      </c>
      <c r="C8" s="1" t="s">
        <v>280</v>
      </c>
      <c r="D8" s="1"/>
      <c r="E8" s="1"/>
      <c r="F8" s="1"/>
      <c r="G8" s="1" t="s">
        <v>281</v>
      </c>
      <c r="H8" s="1"/>
      <c r="I8" s="1"/>
      <c r="J8" s="1"/>
      <c r="K8" s="1" t="s">
        <v>282</v>
      </c>
      <c r="L8" s="1"/>
      <c r="M8" s="1"/>
      <c r="N8" s="1"/>
      <c r="O8" s="48" t="s">
        <v>283</v>
      </c>
      <c r="P8" s="48"/>
      <c r="Q8" s="48"/>
      <c r="R8" s="48"/>
      <c r="S8" s="48"/>
      <c r="T8" s="48"/>
      <c r="U8" s="48"/>
      <c r="V8" s="48"/>
      <c r="W8" s="48"/>
      <c r="X8" s="49"/>
      <c r="Y8" s="49"/>
    </row>
    <row r="9" spans="1:25" ht="48" customHeight="1" x14ac:dyDescent="0.2">
      <c r="A9" s="35">
        <v>5</v>
      </c>
      <c r="B9" s="36" t="s">
        <v>284</v>
      </c>
      <c r="C9" s="1" t="s">
        <v>285</v>
      </c>
      <c r="D9" s="1"/>
      <c r="E9" s="1"/>
      <c r="F9" s="1"/>
      <c r="G9" s="1" t="s">
        <v>47</v>
      </c>
      <c r="H9" s="1"/>
      <c r="I9" s="1"/>
      <c r="J9" s="1"/>
      <c r="K9" s="1" t="s">
        <v>49</v>
      </c>
      <c r="L9" s="1"/>
      <c r="M9" s="1"/>
      <c r="N9" s="1"/>
      <c r="O9" s="48" t="s">
        <v>269</v>
      </c>
      <c r="P9" s="48"/>
      <c r="Q9" s="48"/>
      <c r="R9" s="48"/>
      <c r="S9" s="48"/>
      <c r="T9" s="48"/>
      <c r="U9" s="48"/>
      <c r="V9" s="48"/>
      <c r="W9" s="48"/>
      <c r="X9" s="49" t="s">
        <v>286</v>
      </c>
      <c r="Y9" s="49"/>
    </row>
    <row r="10" spans="1:25" ht="39.75" customHeight="1" x14ac:dyDescent="0.2">
      <c r="A10" s="50" t="s">
        <v>287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</row>
    <row r="11" spans="1:25" ht="24" customHeight="1" x14ac:dyDescent="0.2"/>
    <row r="12" spans="1:25" ht="54" customHeight="1" x14ac:dyDescent="0.2">
      <c r="A12" s="29">
        <f>'Invetario de Tablas'!A5</f>
        <v>2</v>
      </c>
      <c r="B12" s="30" t="s">
        <v>177</v>
      </c>
      <c r="C12" s="6" t="str">
        <f>'Invetario de Tablas'!B5</f>
        <v>tipo_usuario</v>
      </c>
      <c r="D12" s="6"/>
      <c r="E12" s="6"/>
      <c r="F12" s="6"/>
      <c r="G12" s="5" t="s">
        <v>178</v>
      </c>
      <c r="H12" s="5"/>
      <c r="I12" s="5"/>
      <c r="J12" s="5"/>
      <c r="K12" s="4" t="str">
        <f>'Invetario de Tablas'!C5</f>
        <v>Clasificación de usuarios (estudiante, docente, empleado, empresario).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31" t="s">
        <v>255</v>
      </c>
      <c r="Y12" s="32" t="s">
        <v>256</v>
      </c>
    </row>
    <row r="13" spans="1:25" ht="45" customHeight="1" x14ac:dyDescent="0.2">
      <c r="A13" s="33" t="s">
        <v>1</v>
      </c>
      <c r="B13" s="34" t="s">
        <v>257</v>
      </c>
      <c r="C13" s="3" t="s">
        <v>258</v>
      </c>
      <c r="D13" s="3"/>
      <c r="E13" s="3"/>
      <c r="F13" s="3"/>
      <c r="G13" s="3" t="s">
        <v>259</v>
      </c>
      <c r="H13" s="3"/>
      <c r="I13" s="3"/>
      <c r="J13" s="3"/>
      <c r="K13" s="3" t="s">
        <v>260</v>
      </c>
      <c r="L13" s="3"/>
      <c r="M13" s="3"/>
      <c r="N13" s="3"/>
      <c r="O13" s="3" t="s">
        <v>261</v>
      </c>
      <c r="P13" s="3"/>
      <c r="Q13" s="3"/>
      <c r="R13" s="3" t="s">
        <v>262</v>
      </c>
      <c r="S13" s="3"/>
      <c r="T13" s="3" t="s">
        <v>263</v>
      </c>
      <c r="U13" s="3"/>
      <c r="V13" s="3" t="s">
        <v>264</v>
      </c>
      <c r="W13" s="3"/>
      <c r="X13" s="2" t="s">
        <v>265</v>
      </c>
      <c r="Y13" s="2"/>
    </row>
    <row r="14" spans="1:25" ht="48" customHeight="1" x14ac:dyDescent="0.2">
      <c r="A14" s="35">
        <v>1</v>
      </c>
      <c r="B14" s="36" t="s">
        <v>288</v>
      </c>
      <c r="C14" s="1" t="s">
        <v>289</v>
      </c>
      <c r="D14" s="1"/>
      <c r="E14" s="1"/>
      <c r="F14" s="1"/>
      <c r="G14" s="1" t="s">
        <v>268</v>
      </c>
      <c r="H14" s="1"/>
      <c r="I14" s="1"/>
      <c r="J14" s="1"/>
      <c r="K14" s="1" t="s">
        <v>80</v>
      </c>
      <c r="L14" s="1"/>
      <c r="M14" s="1"/>
      <c r="N14" s="1"/>
      <c r="O14" s="48" t="s">
        <v>269</v>
      </c>
      <c r="P14" s="48"/>
      <c r="Q14" s="48"/>
      <c r="R14" s="48" t="s">
        <v>270</v>
      </c>
      <c r="S14" s="48"/>
      <c r="T14" s="48"/>
      <c r="U14" s="48"/>
      <c r="V14" s="48"/>
      <c r="W14" s="48"/>
      <c r="X14" s="49" t="s">
        <v>637</v>
      </c>
      <c r="Y14" s="49"/>
    </row>
    <row r="15" spans="1:25" ht="69" customHeight="1" x14ac:dyDescent="0.2">
      <c r="A15" s="35">
        <v>2</v>
      </c>
      <c r="B15" s="36" t="s">
        <v>290</v>
      </c>
      <c r="C15" s="1" t="s">
        <v>291</v>
      </c>
      <c r="D15" s="1"/>
      <c r="E15" s="1"/>
      <c r="F15" s="1"/>
      <c r="G15" s="1" t="s">
        <v>274</v>
      </c>
      <c r="H15" s="1"/>
      <c r="I15" s="1"/>
      <c r="J15" s="1"/>
      <c r="K15" s="1" t="s">
        <v>275</v>
      </c>
      <c r="L15" s="1"/>
      <c r="M15" s="1"/>
      <c r="N15" s="1"/>
      <c r="O15" s="48" t="s">
        <v>269</v>
      </c>
      <c r="P15" s="48"/>
      <c r="Q15" s="48"/>
      <c r="R15" s="48"/>
      <c r="S15" s="48"/>
      <c r="T15" s="48"/>
      <c r="U15" s="48"/>
      <c r="V15" s="48" t="s">
        <v>270</v>
      </c>
      <c r="W15" s="48"/>
      <c r="X15" s="49"/>
      <c r="Y15" s="49"/>
    </row>
    <row r="16" spans="1:25" ht="48" customHeight="1" x14ac:dyDescent="0.2">
      <c r="A16" s="35">
        <v>3</v>
      </c>
      <c r="B16" s="36" t="s">
        <v>292</v>
      </c>
      <c r="C16" s="1" t="s">
        <v>293</v>
      </c>
      <c r="D16" s="1"/>
      <c r="E16" s="1"/>
      <c r="F16" s="1"/>
      <c r="G16" s="1" t="s">
        <v>278</v>
      </c>
      <c r="H16" s="1"/>
      <c r="I16" s="1"/>
      <c r="J16" s="1"/>
      <c r="K16" s="1" t="s">
        <v>82</v>
      </c>
      <c r="L16" s="1"/>
      <c r="M16" s="1"/>
      <c r="N16" s="1"/>
      <c r="O16" s="48" t="s">
        <v>269</v>
      </c>
      <c r="P16" s="48"/>
      <c r="Q16" s="48"/>
      <c r="R16" s="48"/>
      <c r="S16" s="48"/>
      <c r="T16" s="48"/>
      <c r="U16" s="48"/>
      <c r="V16" s="48" t="s">
        <v>270</v>
      </c>
      <c r="W16" s="48"/>
      <c r="X16" s="49"/>
      <c r="Y16" s="49"/>
    </row>
    <row r="17" spans="1:25" ht="48" customHeight="1" x14ac:dyDescent="0.2">
      <c r="A17" s="35">
        <v>4</v>
      </c>
      <c r="B17" s="36" t="s">
        <v>294</v>
      </c>
      <c r="C17" s="1" t="s">
        <v>295</v>
      </c>
      <c r="D17" s="1"/>
      <c r="E17" s="1"/>
      <c r="F17" s="1"/>
      <c r="G17" s="1" t="s">
        <v>281</v>
      </c>
      <c r="H17" s="1"/>
      <c r="I17" s="1"/>
      <c r="J17" s="1"/>
      <c r="K17" s="1" t="s">
        <v>282</v>
      </c>
      <c r="L17" s="1"/>
      <c r="M17" s="1"/>
      <c r="N17" s="1"/>
      <c r="O17" s="48" t="s">
        <v>283</v>
      </c>
      <c r="P17" s="48"/>
      <c r="Q17" s="48"/>
      <c r="R17" s="48"/>
      <c r="S17" s="48"/>
      <c r="T17" s="48"/>
      <c r="U17" s="48"/>
      <c r="V17" s="48"/>
      <c r="W17" s="48"/>
      <c r="X17" s="49"/>
      <c r="Y17" s="49"/>
    </row>
    <row r="18" spans="1:25" ht="48" customHeight="1" x14ac:dyDescent="0.2">
      <c r="A18" s="35">
        <v>5</v>
      </c>
      <c r="B18" s="36" t="s">
        <v>284</v>
      </c>
      <c r="C18" s="1" t="s">
        <v>296</v>
      </c>
      <c r="D18" s="1"/>
      <c r="E18" s="1"/>
      <c r="F18" s="1"/>
      <c r="G18" s="1" t="s">
        <v>47</v>
      </c>
      <c r="H18" s="1"/>
      <c r="I18" s="1"/>
      <c r="J18" s="1"/>
      <c r="K18" s="1" t="s">
        <v>49</v>
      </c>
      <c r="L18" s="1"/>
      <c r="M18" s="1"/>
      <c r="N18" s="1"/>
      <c r="O18" s="48" t="s">
        <v>269</v>
      </c>
      <c r="P18" s="48"/>
      <c r="Q18" s="48"/>
      <c r="R18" s="48"/>
      <c r="S18" s="48"/>
      <c r="T18" s="48"/>
      <c r="U18" s="48"/>
      <c r="V18" s="48"/>
      <c r="W18" s="48"/>
      <c r="X18" s="49" t="s">
        <v>286</v>
      </c>
      <c r="Y18" s="49"/>
    </row>
    <row r="19" spans="1:25" ht="24" customHeight="1" x14ac:dyDescent="0.2"/>
    <row r="20" spans="1:25" ht="54" customHeight="1" x14ac:dyDescent="0.2">
      <c r="A20" s="29">
        <f>'Invetario de Tablas'!A6</f>
        <v>3</v>
      </c>
      <c r="B20" s="30" t="s">
        <v>177</v>
      </c>
      <c r="C20" s="6" t="str">
        <f>'Invetario de Tablas'!B6</f>
        <v>usuario</v>
      </c>
      <c r="D20" s="6"/>
      <c r="E20" s="6"/>
      <c r="F20" s="6"/>
      <c r="G20" s="5" t="s">
        <v>178</v>
      </c>
      <c r="H20" s="5"/>
      <c r="I20" s="5"/>
      <c r="J20" s="5"/>
      <c r="K20" s="4" t="str">
        <f>'Invetario de Tablas'!C6</f>
        <v>Registro central de personas en la red social universitaria.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31" t="s">
        <v>255</v>
      </c>
      <c r="Y20" s="32" t="s">
        <v>256</v>
      </c>
    </row>
    <row r="21" spans="1:25" ht="45" customHeight="1" x14ac:dyDescent="0.2">
      <c r="A21" s="33" t="s">
        <v>1</v>
      </c>
      <c r="B21" s="34" t="s">
        <v>257</v>
      </c>
      <c r="C21" s="3" t="s">
        <v>258</v>
      </c>
      <c r="D21" s="3"/>
      <c r="E21" s="3"/>
      <c r="F21" s="3"/>
      <c r="G21" s="3" t="s">
        <v>259</v>
      </c>
      <c r="H21" s="3"/>
      <c r="I21" s="3"/>
      <c r="J21" s="3"/>
      <c r="K21" s="3" t="s">
        <v>260</v>
      </c>
      <c r="L21" s="3"/>
      <c r="M21" s="3"/>
      <c r="N21" s="3"/>
      <c r="O21" s="3" t="s">
        <v>261</v>
      </c>
      <c r="P21" s="3"/>
      <c r="Q21" s="3"/>
      <c r="R21" s="3" t="s">
        <v>262</v>
      </c>
      <c r="S21" s="3"/>
      <c r="T21" s="3" t="s">
        <v>263</v>
      </c>
      <c r="U21" s="3"/>
      <c r="V21" s="3" t="s">
        <v>264</v>
      </c>
      <c r="W21" s="3"/>
      <c r="X21" s="2" t="s">
        <v>265</v>
      </c>
      <c r="Y21" s="2"/>
    </row>
    <row r="22" spans="1:25" ht="48" customHeight="1" x14ac:dyDescent="0.2">
      <c r="A22" s="35">
        <v>1</v>
      </c>
      <c r="B22" s="36" t="s">
        <v>297</v>
      </c>
      <c r="C22" s="1" t="s">
        <v>298</v>
      </c>
      <c r="D22" s="1"/>
      <c r="E22" s="1"/>
      <c r="F22" s="1"/>
      <c r="G22" s="1" t="s">
        <v>299</v>
      </c>
      <c r="H22" s="1"/>
      <c r="I22" s="1"/>
      <c r="J22" s="1"/>
      <c r="K22" s="1" t="s">
        <v>89</v>
      </c>
      <c r="L22" s="1"/>
      <c r="M22" s="1"/>
      <c r="N22" s="1"/>
      <c r="O22" s="48" t="s">
        <v>269</v>
      </c>
      <c r="P22" s="48"/>
      <c r="Q22" s="48"/>
      <c r="R22" s="48" t="s">
        <v>270</v>
      </c>
      <c r="S22" s="48"/>
      <c r="T22" s="48"/>
      <c r="U22" s="48"/>
      <c r="V22" s="48"/>
      <c r="W22" s="48"/>
      <c r="X22" s="49" t="s">
        <v>637</v>
      </c>
      <c r="Y22" s="49"/>
    </row>
    <row r="23" spans="1:25" ht="69" customHeight="1" x14ac:dyDescent="0.2">
      <c r="A23" s="35">
        <v>2</v>
      </c>
      <c r="B23" s="36" t="s">
        <v>300</v>
      </c>
      <c r="C23" s="1" t="s">
        <v>301</v>
      </c>
      <c r="D23" s="1"/>
      <c r="E23" s="1"/>
      <c r="F23" s="1"/>
      <c r="G23" s="1" t="s">
        <v>19</v>
      </c>
      <c r="H23" s="1"/>
      <c r="I23" s="1"/>
      <c r="J23" s="1"/>
      <c r="K23" s="1" t="s">
        <v>22</v>
      </c>
      <c r="L23" s="1"/>
      <c r="M23" s="1"/>
      <c r="N23" s="1"/>
      <c r="O23" s="48" t="s">
        <v>269</v>
      </c>
      <c r="P23" s="48"/>
      <c r="Q23" s="48"/>
      <c r="R23" s="48"/>
      <c r="S23" s="48"/>
      <c r="T23" s="48"/>
      <c r="U23" s="48"/>
      <c r="V23" s="48" t="s">
        <v>270</v>
      </c>
      <c r="W23" s="48"/>
      <c r="X23" s="49" t="s">
        <v>302</v>
      </c>
      <c r="Y23" s="49"/>
    </row>
    <row r="24" spans="1:25" ht="30" customHeight="1" x14ac:dyDescent="0.2">
      <c r="A24" s="35">
        <v>3</v>
      </c>
      <c r="B24" s="36" t="s">
        <v>266</v>
      </c>
      <c r="C24" s="1" t="s">
        <v>303</v>
      </c>
      <c r="D24" s="1"/>
      <c r="E24" s="1"/>
      <c r="F24" s="1"/>
      <c r="G24" s="1" t="s">
        <v>304</v>
      </c>
      <c r="H24" s="1"/>
      <c r="I24" s="1"/>
      <c r="J24" s="1"/>
      <c r="K24" s="1" t="s">
        <v>80</v>
      </c>
      <c r="L24" s="1"/>
      <c r="M24" s="1"/>
      <c r="N24" s="1"/>
      <c r="O24" s="48" t="s">
        <v>269</v>
      </c>
      <c r="P24" s="48"/>
      <c r="Q24" s="48"/>
      <c r="R24" s="48"/>
      <c r="S24" s="48"/>
      <c r="T24" s="48" t="s">
        <v>270</v>
      </c>
      <c r="U24" s="48"/>
      <c r="V24" s="48"/>
      <c r="W24" s="48"/>
      <c r="X24" s="49" t="s">
        <v>305</v>
      </c>
      <c r="Y24" s="49"/>
    </row>
    <row r="25" spans="1:25" ht="48" customHeight="1" x14ac:dyDescent="0.2">
      <c r="A25" s="35">
        <v>4</v>
      </c>
      <c r="B25" s="36" t="s">
        <v>288</v>
      </c>
      <c r="C25" s="1" t="s">
        <v>306</v>
      </c>
      <c r="D25" s="1"/>
      <c r="E25" s="1"/>
      <c r="F25" s="1"/>
      <c r="G25" s="1" t="s">
        <v>304</v>
      </c>
      <c r="H25" s="1"/>
      <c r="I25" s="1"/>
      <c r="J25" s="1"/>
      <c r="K25" s="1" t="s">
        <v>80</v>
      </c>
      <c r="L25" s="1"/>
      <c r="M25" s="1"/>
      <c r="N25" s="1"/>
      <c r="O25" s="48" t="s">
        <v>269</v>
      </c>
      <c r="P25" s="48"/>
      <c r="Q25" s="48"/>
      <c r="R25" s="48"/>
      <c r="S25" s="48"/>
      <c r="T25" s="48" t="s">
        <v>270</v>
      </c>
      <c r="U25" s="48"/>
      <c r="V25" s="48"/>
      <c r="W25" s="48"/>
      <c r="X25" s="49" t="s">
        <v>307</v>
      </c>
      <c r="Y25" s="49"/>
    </row>
    <row r="26" spans="1:25" ht="48" customHeight="1" x14ac:dyDescent="0.2">
      <c r="A26" s="35">
        <v>5</v>
      </c>
      <c r="B26" s="36" t="s">
        <v>308</v>
      </c>
      <c r="C26" s="1" t="s">
        <v>309</v>
      </c>
      <c r="D26" s="1"/>
      <c r="E26" s="1"/>
      <c r="F26" s="1"/>
      <c r="G26" s="1" t="s">
        <v>310</v>
      </c>
      <c r="H26" s="1"/>
      <c r="I26" s="1"/>
      <c r="J26" s="1"/>
      <c r="K26" s="1" t="s">
        <v>311</v>
      </c>
      <c r="L26" s="1"/>
      <c r="M26" s="1"/>
      <c r="N26" s="1"/>
      <c r="O26" s="48" t="s">
        <v>269</v>
      </c>
      <c r="P26" s="48"/>
      <c r="Q26" s="48"/>
      <c r="R26" s="48"/>
      <c r="S26" s="48"/>
      <c r="T26" s="48"/>
      <c r="U26" s="48"/>
      <c r="V26" s="48" t="s">
        <v>270</v>
      </c>
      <c r="W26" s="48"/>
      <c r="X26" s="49"/>
      <c r="Y26" s="49"/>
    </row>
    <row r="27" spans="1:25" ht="30" customHeight="1" x14ac:dyDescent="0.2">
      <c r="A27" s="35">
        <v>6</v>
      </c>
      <c r="B27" s="36" t="s">
        <v>312</v>
      </c>
      <c r="C27" s="1" t="s">
        <v>313</v>
      </c>
      <c r="D27" s="1"/>
      <c r="E27" s="1"/>
      <c r="F27" s="1"/>
      <c r="G27" s="1" t="s">
        <v>314</v>
      </c>
      <c r="H27" s="1"/>
      <c r="I27" s="1"/>
      <c r="J27" s="1"/>
      <c r="K27" s="1" t="s">
        <v>315</v>
      </c>
      <c r="L27" s="1"/>
      <c r="M27" s="1"/>
      <c r="N27" s="1"/>
      <c r="O27" s="48" t="s">
        <v>269</v>
      </c>
      <c r="P27" s="48"/>
      <c r="Q27" s="48"/>
      <c r="R27" s="48"/>
      <c r="S27" s="48"/>
      <c r="T27" s="48"/>
      <c r="U27" s="48"/>
      <c r="V27" s="48"/>
      <c r="W27" s="48"/>
      <c r="X27" s="49"/>
      <c r="Y27" s="49"/>
    </row>
    <row r="28" spans="1:25" ht="30" customHeight="1" x14ac:dyDescent="0.2">
      <c r="A28" s="35">
        <v>7</v>
      </c>
      <c r="B28" s="36" t="s">
        <v>316</v>
      </c>
      <c r="C28" s="1" t="s">
        <v>317</v>
      </c>
      <c r="D28" s="1"/>
      <c r="E28" s="1"/>
      <c r="F28" s="1"/>
      <c r="G28" s="1" t="s">
        <v>314</v>
      </c>
      <c r="H28" s="1"/>
      <c r="I28" s="1"/>
      <c r="J28" s="1"/>
      <c r="K28" s="1" t="s">
        <v>315</v>
      </c>
      <c r="L28" s="1"/>
      <c r="M28" s="1"/>
      <c r="N28" s="1"/>
      <c r="O28" s="48" t="s">
        <v>269</v>
      </c>
      <c r="P28" s="48"/>
      <c r="Q28" s="48"/>
      <c r="R28" s="48"/>
      <c r="S28" s="48"/>
      <c r="T28" s="48"/>
      <c r="U28" s="48"/>
      <c r="V28" s="48"/>
      <c r="W28" s="48"/>
      <c r="X28" s="49"/>
      <c r="Y28" s="49"/>
    </row>
    <row r="29" spans="1:25" ht="48" customHeight="1" x14ac:dyDescent="0.2">
      <c r="A29" s="35">
        <v>8</v>
      </c>
      <c r="B29" s="36" t="s">
        <v>318</v>
      </c>
      <c r="C29" s="1" t="s">
        <v>319</v>
      </c>
      <c r="D29" s="1"/>
      <c r="E29" s="1"/>
      <c r="F29" s="1"/>
      <c r="G29" s="1" t="s">
        <v>320</v>
      </c>
      <c r="H29" s="1"/>
      <c r="I29" s="1"/>
      <c r="J29" s="1"/>
      <c r="K29" s="1" t="s">
        <v>321</v>
      </c>
      <c r="L29" s="1"/>
      <c r="M29" s="1"/>
      <c r="N29" s="1"/>
      <c r="O29" s="48" t="s">
        <v>269</v>
      </c>
      <c r="P29" s="48"/>
      <c r="Q29" s="48"/>
      <c r="R29" s="48"/>
      <c r="S29" s="48"/>
      <c r="T29" s="48"/>
      <c r="U29" s="48"/>
      <c r="V29" s="48" t="s">
        <v>270</v>
      </c>
      <c r="W29" s="48"/>
      <c r="X29" s="49"/>
      <c r="Y29" s="49"/>
    </row>
    <row r="30" spans="1:25" ht="48" customHeight="1" x14ac:dyDescent="0.2">
      <c r="A30" s="35">
        <v>9</v>
      </c>
      <c r="B30" s="36" t="s">
        <v>322</v>
      </c>
      <c r="C30" s="1" t="s">
        <v>323</v>
      </c>
      <c r="D30" s="1"/>
      <c r="E30" s="1"/>
      <c r="F30" s="1"/>
      <c r="G30" s="1" t="s">
        <v>324</v>
      </c>
      <c r="H30" s="1"/>
      <c r="I30" s="1"/>
      <c r="J30" s="1"/>
      <c r="K30" s="1" t="s">
        <v>325</v>
      </c>
      <c r="L30" s="1"/>
      <c r="M30" s="1"/>
      <c r="N30" s="1"/>
      <c r="O30" s="48" t="s">
        <v>269</v>
      </c>
      <c r="P30" s="48"/>
      <c r="Q30" s="48"/>
      <c r="R30" s="48"/>
      <c r="S30" s="48"/>
      <c r="T30" s="48"/>
      <c r="U30" s="48"/>
      <c r="V30" s="48"/>
      <c r="W30" s="48"/>
      <c r="X30" s="49" t="s">
        <v>326</v>
      </c>
      <c r="Y30" s="49"/>
    </row>
    <row r="31" spans="1:25" ht="30" customHeight="1" x14ac:dyDescent="0.2">
      <c r="A31" s="35">
        <v>10</v>
      </c>
      <c r="B31" s="36" t="s">
        <v>327</v>
      </c>
      <c r="C31" s="1" t="s">
        <v>328</v>
      </c>
      <c r="D31" s="1"/>
      <c r="E31" s="1"/>
      <c r="F31" s="1"/>
      <c r="G31" s="1" t="s">
        <v>78</v>
      </c>
      <c r="H31" s="1"/>
      <c r="I31" s="1"/>
      <c r="J31" s="1"/>
      <c r="K31" s="1" t="s">
        <v>80</v>
      </c>
      <c r="L31" s="1"/>
      <c r="M31" s="1"/>
      <c r="N31" s="1"/>
      <c r="O31" s="48" t="s">
        <v>283</v>
      </c>
      <c r="P31" s="48"/>
      <c r="Q31" s="48"/>
      <c r="R31" s="48"/>
      <c r="S31" s="48"/>
      <c r="T31" s="48"/>
      <c r="U31" s="48"/>
      <c r="V31" s="48"/>
      <c r="W31" s="48"/>
      <c r="X31" s="49"/>
      <c r="Y31" s="49"/>
    </row>
    <row r="32" spans="1:25" ht="48" customHeight="1" x14ac:dyDescent="0.2">
      <c r="A32" s="35">
        <v>11</v>
      </c>
      <c r="B32" s="36" t="s">
        <v>284</v>
      </c>
      <c r="C32" s="1" t="s">
        <v>329</v>
      </c>
      <c r="D32" s="1"/>
      <c r="E32" s="1"/>
      <c r="F32" s="1"/>
      <c r="G32" s="1" t="s">
        <v>47</v>
      </c>
      <c r="H32" s="1"/>
      <c r="I32" s="1"/>
      <c r="J32" s="1"/>
      <c r="K32" s="1" t="s">
        <v>49</v>
      </c>
      <c r="L32" s="1"/>
      <c r="M32" s="1"/>
      <c r="N32" s="1"/>
      <c r="O32" s="48" t="s">
        <v>269</v>
      </c>
      <c r="P32" s="48"/>
      <c r="Q32" s="48"/>
      <c r="R32" s="48"/>
      <c r="S32" s="48"/>
      <c r="T32" s="48"/>
      <c r="U32" s="48"/>
      <c r="V32" s="48"/>
      <c r="W32" s="48"/>
      <c r="X32" s="49" t="s">
        <v>286</v>
      </c>
      <c r="Y32" s="49"/>
    </row>
    <row r="33" spans="1:25" ht="48" customHeight="1" x14ac:dyDescent="0.2">
      <c r="A33" s="35">
        <v>12</v>
      </c>
      <c r="B33" s="36" t="s">
        <v>330</v>
      </c>
      <c r="C33" s="1" t="s">
        <v>331</v>
      </c>
      <c r="D33" s="1"/>
      <c r="E33" s="1"/>
      <c r="F33" s="1"/>
      <c r="G33" s="1" t="s">
        <v>87</v>
      </c>
      <c r="H33" s="1"/>
      <c r="I33" s="1"/>
      <c r="J33" s="1"/>
      <c r="K33" s="1" t="s">
        <v>89</v>
      </c>
      <c r="L33" s="1"/>
      <c r="M33" s="1"/>
      <c r="N33" s="1"/>
      <c r="O33" s="48" t="s">
        <v>269</v>
      </c>
      <c r="P33" s="48"/>
      <c r="Q33" s="48"/>
      <c r="R33" s="48"/>
      <c r="S33" s="48"/>
      <c r="T33" s="48"/>
      <c r="U33" s="48"/>
      <c r="V33" s="48"/>
      <c r="W33" s="48"/>
      <c r="X33" s="49" t="s">
        <v>332</v>
      </c>
      <c r="Y33" s="49"/>
    </row>
    <row r="34" spans="1:25" ht="24" customHeight="1" x14ac:dyDescent="0.2"/>
    <row r="35" spans="1:25" ht="54" customHeight="1" x14ac:dyDescent="0.2">
      <c r="A35" s="29">
        <f>'Invetario de Tablas'!A7</f>
        <v>4</v>
      </c>
      <c r="B35" s="30" t="s">
        <v>177</v>
      </c>
      <c r="C35" s="6" t="str">
        <f>'Invetario de Tablas'!B7</f>
        <v>perfil</v>
      </c>
      <c r="D35" s="6"/>
      <c r="E35" s="6"/>
      <c r="F35" s="6"/>
      <c r="G35" s="5" t="s">
        <v>178</v>
      </c>
      <c r="H35" s="5"/>
      <c r="I35" s="5"/>
      <c r="J35" s="5"/>
      <c r="K35" s="4" t="str">
        <f>'Invetario de Tablas'!C7</f>
        <v>Datos complementarios, habilidades e intereses del usuario o grupo.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31" t="s">
        <v>255</v>
      </c>
      <c r="Y35" s="32" t="s">
        <v>256</v>
      </c>
    </row>
    <row r="36" spans="1:25" ht="45" customHeight="1" x14ac:dyDescent="0.2">
      <c r="A36" s="33" t="s">
        <v>1</v>
      </c>
      <c r="B36" s="34" t="s">
        <v>257</v>
      </c>
      <c r="C36" s="3" t="s">
        <v>258</v>
      </c>
      <c r="D36" s="3"/>
      <c r="E36" s="3"/>
      <c r="F36" s="3"/>
      <c r="G36" s="3" t="s">
        <v>259</v>
      </c>
      <c r="H36" s="3"/>
      <c r="I36" s="3"/>
      <c r="J36" s="3"/>
      <c r="K36" s="3" t="s">
        <v>260</v>
      </c>
      <c r="L36" s="3"/>
      <c r="M36" s="3"/>
      <c r="N36" s="3"/>
      <c r="O36" s="3" t="s">
        <v>261</v>
      </c>
      <c r="P36" s="3"/>
      <c r="Q36" s="3"/>
      <c r="R36" s="3" t="s">
        <v>262</v>
      </c>
      <c r="S36" s="3"/>
      <c r="T36" s="3" t="s">
        <v>263</v>
      </c>
      <c r="U36" s="3"/>
      <c r="V36" s="3" t="s">
        <v>264</v>
      </c>
      <c r="W36" s="3"/>
      <c r="X36" s="2" t="s">
        <v>265</v>
      </c>
      <c r="Y36" s="2"/>
    </row>
    <row r="37" spans="1:25" ht="48" customHeight="1" x14ac:dyDescent="0.2">
      <c r="A37" s="35">
        <v>1</v>
      </c>
      <c r="B37" s="36" t="s">
        <v>297</v>
      </c>
      <c r="C37" s="1" t="s">
        <v>333</v>
      </c>
      <c r="D37" s="1"/>
      <c r="E37" s="1"/>
      <c r="F37" s="1"/>
      <c r="G37" s="1" t="s">
        <v>334</v>
      </c>
      <c r="H37" s="1"/>
      <c r="I37" s="1"/>
      <c r="J37" s="1"/>
      <c r="K37" s="1" t="s">
        <v>89</v>
      </c>
      <c r="L37" s="1"/>
      <c r="M37" s="1"/>
      <c r="N37" s="1"/>
      <c r="O37" s="48" t="s">
        <v>269</v>
      </c>
      <c r="P37" s="48"/>
      <c r="Q37" s="48"/>
      <c r="R37" s="48" t="s">
        <v>270</v>
      </c>
      <c r="S37" s="48"/>
      <c r="T37" s="48" t="s">
        <v>270</v>
      </c>
      <c r="U37" s="48"/>
      <c r="V37" s="48"/>
      <c r="W37" s="48"/>
      <c r="X37" s="49" t="s">
        <v>335</v>
      </c>
      <c r="Y37" s="49"/>
    </row>
    <row r="38" spans="1:25" ht="30" customHeight="1" x14ac:dyDescent="0.2">
      <c r="A38" s="35">
        <v>2</v>
      </c>
      <c r="B38" s="36" t="s">
        <v>336</v>
      </c>
      <c r="C38" s="1" t="s">
        <v>337</v>
      </c>
      <c r="D38" s="1"/>
      <c r="E38" s="1"/>
      <c r="F38" s="1"/>
      <c r="G38" s="1" t="s">
        <v>338</v>
      </c>
      <c r="H38" s="1"/>
      <c r="I38" s="1"/>
      <c r="J38" s="1"/>
      <c r="K38" s="1" t="s">
        <v>339</v>
      </c>
      <c r="L38" s="1"/>
      <c r="M38" s="1"/>
      <c r="N38" s="1"/>
      <c r="O38" s="48" t="s">
        <v>283</v>
      </c>
      <c r="P38" s="48"/>
      <c r="Q38" s="48"/>
      <c r="R38" s="48"/>
      <c r="S38" s="48"/>
      <c r="T38" s="48"/>
      <c r="U38" s="48"/>
      <c r="V38" s="48"/>
      <c r="W38" s="48"/>
      <c r="X38" s="49"/>
      <c r="Y38" s="49"/>
    </row>
    <row r="39" spans="1:25" ht="69" customHeight="1" x14ac:dyDescent="0.2">
      <c r="A39" s="35">
        <v>3</v>
      </c>
      <c r="B39" s="36" t="s">
        <v>340</v>
      </c>
      <c r="C39" s="1" t="s">
        <v>341</v>
      </c>
      <c r="D39" s="1"/>
      <c r="E39" s="1"/>
      <c r="F39" s="1"/>
      <c r="G39" s="1" t="s">
        <v>57</v>
      </c>
      <c r="H39" s="1"/>
      <c r="I39" s="1"/>
      <c r="J39" s="1"/>
      <c r="K39" s="1" t="s">
        <v>59</v>
      </c>
      <c r="L39" s="1"/>
      <c r="M39" s="1"/>
      <c r="N39" s="1"/>
      <c r="O39" s="48" t="s">
        <v>283</v>
      </c>
      <c r="P39" s="48"/>
      <c r="Q39" s="48"/>
      <c r="R39" s="48"/>
      <c r="S39" s="48"/>
      <c r="T39" s="48"/>
      <c r="U39" s="48"/>
      <c r="V39" s="48"/>
      <c r="W39" s="48"/>
      <c r="X39" s="49"/>
      <c r="Y39" s="49"/>
    </row>
    <row r="40" spans="1:25" ht="48" customHeight="1" x14ac:dyDescent="0.2">
      <c r="A40" s="35">
        <v>4</v>
      </c>
      <c r="B40" s="36" t="s">
        <v>342</v>
      </c>
      <c r="C40" s="1" t="s">
        <v>343</v>
      </c>
      <c r="D40" s="1"/>
      <c r="E40" s="1"/>
      <c r="F40" s="1"/>
      <c r="G40" s="1" t="s">
        <v>344</v>
      </c>
      <c r="H40" s="1"/>
      <c r="I40" s="1"/>
      <c r="J40" s="1"/>
      <c r="K40" s="1" t="s">
        <v>345</v>
      </c>
      <c r="L40" s="1"/>
      <c r="M40" s="1"/>
      <c r="N40" s="1"/>
      <c r="O40" s="48" t="s">
        <v>283</v>
      </c>
      <c r="P40" s="48"/>
      <c r="Q40" s="48"/>
      <c r="R40" s="48"/>
      <c r="S40" s="48"/>
      <c r="T40" s="48"/>
      <c r="U40" s="48"/>
      <c r="V40" s="48"/>
      <c r="W40" s="48"/>
      <c r="X40" s="49"/>
      <c r="Y40" s="49"/>
    </row>
    <row r="41" spans="1:25" ht="48" customHeight="1" x14ac:dyDescent="0.2">
      <c r="A41" s="35">
        <v>5</v>
      </c>
      <c r="B41" s="36" t="s">
        <v>346</v>
      </c>
      <c r="C41" s="1" t="s">
        <v>347</v>
      </c>
      <c r="D41" s="1"/>
      <c r="E41" s="1"/>
      <c r="F41" s="1"/>
      <c r="G41" s="1" t="s">
        <v>304</v>
      </c>
      <c r="H41" s="1"/>
      <c r="I41" s="1"/>
      <c r="J41" s="1"/>
      <c r="K41" s="1" t="s">
        <v>80</v>
      </c>
      <c r="L41" s="1"/>
      <c r="M41" s="1"/>
      <c r="N41" s="1"/>
      <c r="O41" s="48" t="s">
        <v>283</v>
      </c>
      <c r="P41" s="48"/>
      <c r="Q41" s="48"/>
      <c r="R41" s="48"/>
      <c r="S41" s="48"/>
      <c r="T41" s="48"/>
      <c r="U41" s="48"/>
      <c r="V41" s="48"/>
      <c r="W41" s="48"/>
      <c r="X41" s="49" t="s">
        <v>348</v>
      </c>
      <c r="Y41" s="49"/>
    </row>
    <row r="42" spans="1:25" ht="48" customHeight="1" x14ac:dyDescent="0.2">
      <c r="A42" s="35">
        <v>6</v>
      </c>
      <c r="B42" s="36" t="s">
        <v>349</v>
      </c>
      <c r="C42" s="1" t="s">
        <v>350</v>
      </c>
      <c r="D42" s="1"/>
      <c r="E42" s="1"/>
      <c r="F42" s="1"/>
      <c r="G42" s="1" t="s">
        <v>155</v>
      </c>
      <c r="H42" s="1"/>
      <c r="I42" s="1"/>
      <c r="J42" s="1"/>
      <c r="K42" s="1" t="s">
        <v>110</v>
      </c>
      <c r="L42" s="1"/>
      <c r="M42" s="1"/>
      <c r="N42" s="1"/>
      <c r="O42" s="48" t="s">
        <v>283</v>
      </c>
      <c r="P42" s="48"/>
      <c r="Q42" s="48"/>
      <c r="R42" s="48"/>
      <c r="S42" s="48"/>
      <c r="T42" s="48"/>
      <c r="U42" s="48"/>
      <c r="V42" s="48"/>
      <c r="W42" s="48"/>
      <c r="X42" s="49"/>
      <c r="Y42" s="49"/>
    </row>
    <row r="43" spans="1:25" ht="48" customHeight="1" x14ac:dyDescent="0.2">
      <c r="A43" s="35">
        <v>7</v>
      </c>
      <c r="B43" s="36" t="s">
        <v>351</v>
      </c>
      <c r="C43" s="1" t="s">
        <v>352</v>
      </c>
      <c r="D43" s="1"/>
      <c r="E43" s="1"/>
      <c r="F43" s="1"/>
      <c r="G43" s="1" t="s">
        <v>87</v>
      </c>
      <c r="H43" s="1"/>
      <c r="I43" s="1"/>
      <c r="J43" s="1"/>
      <c r="K43" s="1" t="s">
        <v>89</v>
      </c>
      <c r="L43" s="1"/>
      <c r="M43" s="1"/>
      <c r="N43" s="1"/>
      <c r="O43" s="48" t="s">
        <v>269</v>
      </c>
      <c r="P43" s="48"/>
      <c r="Q43" s="48"/>
      <c r="R43" s="48"/>
      <c r="S43" s="48"/>
      <c r="T43" s="48"/>
      <c r="U43" s="48"/>
      <c r="V43" s="48"/>
      <c r="W43" s="48"/>
      <c r="X43" s="49" t="s">
        <v>332</v>
      </c>
      <c r="Y43" s="49"/>
    </row>
    <row r="44" spans="1:25" ht="24" customHeight="1" x14ac:dyDescent="0.2"/>
    <row r="45" spans="1:25" ht="54" customHeight="1" x14ac:dyDescent="0.2">
      <c r="A45" s="29">
        <f>'Invetario de Tablas'!A8</f>
        <v>5</v>
      </c>
      <c r="B45" s="30" t="s">
        <v>177</v>
      </c>
      <c r="C45" s="6" t="str">
        <f>'Invetario de Tablas'!B8</f>
        <v>categoria_publicacion</v>
      </c>
      <c r="D45" s="6"/>
      <c r="E45" s="6"/>
      <c r="F45" s="6"/>
      <c r="G45" s="5" t="s">
        <v>178</v>
      </c>
      <c r="H45" s="5"/>
      <c r="I45" s="5"/>
      <c r="J45" s="5"/>
      <c r="K45" s="4" t="str">
        <f>'Invetario de Tablas'!C8</f>
        <v>Clasificación de contenido (duda, recurso, noticia, meme).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31" t="s">
        <v>255</v>
      </c>
      <c r="Y45" s="32" t="s">
        <v>256</v>
      </c>
    </row>
    <row r="46" spans="1:25" ht="45" customHeight="1" x14ac:dyDescent="0.2">
      <c r="A46" s="33" t="s">
        <v>1</v>
      </c>
      <c r="B46" s="34" t="s">
        <v>257</v>
      </c>
      <c r="C46" s="3" t="s">
        <v>258</v>
      </c>
      <c r="D46" s="3"/>
      <c r="E46" s="3"/>
      <c r="F46" s="3"/>
      <c r="G46" s="3" t="s">
        <v>259</v>
      </c>
      <c r="H46" s="3"/>
      <c r="I46" s="3"/>
      <c r="J46" s="3"/>
      <c r="K46" s="3" t="s">
        <v>260</v>
      </c>
      <c r="L46" s="3"/>
      <c r="M46" s="3"/>
      <c r="N46" s="3"/>
      <c r="O46" s="3" t="s">
        <v>261</v>
      </c>
      <c r="P46" s="3"/>
      <c r="Q46" s="3"/>
      <c r="R46" s="3" t="s">
        <v>262</v>
      </c>
      <c r="S46" s="3"/>
      <c r="T46" s="3" t="s">
        <v>263</v>
      </c>
      <c r="U46" s="3"/>
      <c r="V46" s="3" t="s">
        <v>264</v>
      </c>
      <c r="W46" s="3"/>
      <c r="X46" s="2" t="s">
        <v>265</v>
      </c>
      <c r="Y46" s="2"/>
    </row>
    <row r="47" spans="1:25" ht="48" customHeight="1" x14ac:dyDescent="0.2">
      <c r="A47" s="35">
        <v>1</v>
      </c>
      <c r="B47" s="36" t="s">
        <v>353</v>
      </c>
      <c r="C47" s="1" t="s">
        <v>354</v>
      </c>
      <c r="D47" s="1"/>
      <c r="E47" s="1"/>
      <c r="F47" s="1"/>
      <c r="G47" s="1" t="s">
        <v>268</v>
      </c>
      <c r="H47" s="1"/>
      <c r="I47" s="1"/>
      <c r="J47" s="1"/>
      <c r="K47" s="1" t="s">
        <v>80</v>
      </c>
      <c r="L47" s="1"/>
      <c r="M47" s="1"/>
      <c r="N47" s="1"/>
      <c r="O47" s="48" t="s">
        <v>269</v>
      </c>
      <c r="P47" s="48"/>
      <c r="Q47" s="48"/>
      <c r="R47" s="48" t="s">
        <v>270</v>
      </c>
      <c r="S47" s="48"/>
      <c r="T47" s="48"/>
      <c r="U47" s="48"/>
      <c r="V47" s="48"/>
      <c r="W47" s="48"/>
      <c r="X47" s="49" t="s">
        <v>637</v>
      </c>
      <c r="Y47" s="49"/>
    </row>
    <row r="48" spans="1:25" ht="48" customHeight="1" x14ac:dyDescent="0.2">
      <c r="A48" s="35">
        <v>2</v>
      </c>
      <c r="B48" s="36" t="s">
        <v>355</v>
      </c>
      <c r="C48" s="1" t="s">
        <v>356</v>
      </c>
      <c r="D48" s="1"/>
      <c r="E48" s="1"/>
      <c r="F48" s="1"/>
      <c r="G48" s="1" t="s">
        <v>357</v>
      </c>
      <c r="H48" s="1"/>
      <c r="I48" s="1"/>
      <c r="J48" s="1"/>
      <c r="K48" s="1" t="s">
        <v>358</v>
      </c>
      <c r="L48" s="1"/>
      <c r="M48" s="1"/>
      <c r="N48" s="1"/>
      <c r="O48" s="48" t="s">
        <v>269</v>
      </c>
      <c r="P48" s="48"/>
      <c r="Q48" s="48"/>
      <c r="R48" s="48"/>
      <c r="S48" s="48"/>
      <c r="T48" s="48"/>
      <c r="U48" s="48"/>
      <c r="V48" s="48" t="s">
        <v>270</v>
      </c>
      <c r="W48" s="48"/>
      <c r="X48" s="49"/>
      <c r="Y48" s="49"/>
    </row>
    <row r="49" spans="1:25" ht="69" customHeight="1" x14ac:dyDescent="0.2">
      <c r="A49" s="35">
        <v>3</v>
      </c>
      <c r="B49" s="36" t="s">
        <v>359</v>
      </c>
      <c r="C49" s="1" t="s">
        <v>360</v>
      </c>
      <c r="D49" s="1"/>
      <c r="E49" s="1"/>
      <c r="F49" s="1"/>
      <c r="G49" s="1" t="s">
        <v>281</v>
      </c>
      <c r="H49" s="1"/>
      <c r="I49" s="1"/>
      <c r="J49" s="1"/>
      <c r="K49" s="1" t="s">
        <v>282</v>
      </c>
      <c r="L49" s="1"/>
      <c r="M49" s="1"/>
      <c r="N49" s="1"/>
      <c r="O49" s="48" t="s">
        <v>283</v>
      </c>
      <c r="P49" s="48"/>
      <c r="Q49" s="48"/>
      <c r="R49" s="48"/>
      <c r="S49" s="48"/>
      <c r="T49" s="48"/>
      <c r="U49" s="48"/>
      <c r="V49" s="48"/>
      <c r="W49" s="48"/>
      <c r="X49" s="49"/>
      <c r="Y49" s="49"/>
    </row>
    <row r="50" spans="1:25" ht="48" customHeight="1" x14ac:dyDescent="0.2">
      <c r="A50" s="35">
        <v>4</v>
      </c>
      <c r="B50" s="36" t="s">
        <v>284</v>
      </c>
      <c r="C50" s="1" t="s">
        <v>361</v>
      </c>
      <c r="D50" s="1"/>
      <c r="E50" s="1"/>
      <c r="F50" s="1"/>
      <c r="G50" s="1" t="s">
        <v>47</v>
      </c>
      <c r="H50" s="1"/>
      <c r="I50" s="1"/>
      <c r="J50" s="1"/>
      <c r="K50" s="1" t="s">
        <v>49</v>
      </c>
      <c r="L50" s="1"/>
      <c r="M50" s="1"/>
      <c r="N50" s="1"/>
      <c r="O50" s="48" t="s">
        <v>269</v>
      </c>
      <c r="P50" s="48"/>
      <c r="Q50" s="48"/>
      <c r="R50" s="48"/>
      <c r="S50" s="48"/>
      <c r="T50" s="48"/>
      <c r="U50" s="48"/>
      <c r="V50" s="48"/>
      <c r="W50" s="48"/>
      <c r="X50" s="49" t="s">
        <v>286</v>
      </c>
      <c r="Y50" s="49"/>
    </row>
    <row r="51" spans="1:25" ht="24" customHeight="1" x14ac:dyDescent="0.2"/>
    <row r="52" spans="1:25" ht="54" customHeight="1" x14ac:dyDescent="0.2">
      <c r="A52" s="29">
        <f>'Invetario de Tablas'!A9</f>
        <v>6</v>
      </c>
      <c r="B52" s="30" t="s">
        <v>177</v>
      </c>
      <c r="C52" s="6" t="str">
        <f>'Invetario de Tablas'!B9</f>
        <v>publicacion</v>
      </c>
      <c r="D52" s="6"/>
      <c r="E52" s="6"/>
      <c r="F52" s="6"/>
      <c r="G52" s="5" t="s">
        <v>178</v>
      </c>
      <c r="H52" s="5"/>
      <c r="I52" s="5"/>
      <c r="J52" s="5"/>
      <c r="K52" s="4" t="str">
        <f>'Invetario de Tablas'!C9</f>
        <v>Mensajes, preguntas o noticias compartidas por los usuarios.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31" t="s">
        <v>255</v>
      </c>
      <c r="Y52" s="32" t="s">
        <v>256</v>
      </c>
    </row>
    <row r="53" spans="1:25" ht="45" customHeight="1" x14ac:dyDescent="0.2">
      <c r="A53" s="33" t="s">
        <v>1</v>
      </c>
      <c r="B53" s="34" t="s">
        <v>257</v>
      </c>
      <c r="C53" s="3" t="s">
        <v>258</v>
      </c>
      <c r="D53" s="3"/>
      <c r="E53" s="3"/>
      <c r="F53" s="3"/>
      <c r="G53" s="3" t="s">
        <v>259</v>
      </c>
      <c r="H53" s="3"/>
      <c r="I53" s="3"/>
      <c r="J53" s="3"/>
      <c r="K53" s="3" t="s">
        <v>260</v>
      </c>
      <c r="L53" s="3"/>
      <c r="M53" s="3"/>
      <c r="N53" s="3"/>
      <c r="O53" s="3" t="s">
        <v>261</v>
      </c>
      <c r="P53" s="3"/>
      <c r="Q53" s="3"/>
      <c r="R53" s="3" t="s">
        <v>262</v>
      </c>
      <c r="S53" s="3"/>
      <c r="T53" s="3" t="s">
        <v>263</v>
      </c>
      <c r="U53" s="3"/>
      <c r="V53" s="3" t="s">
        <v>264</v>
      </c>
      <c r="W53" s="3"/>
      <c r="X53" s="2" t="s">
        <v>265</v>
      </c>
      <c r="Y53" s="2"/>
    </row>
    <row r="54" spans="1:25" ht="48" customHeight="1" x14ac:dyDescent="0.2">
      <c r="A54" s="35">
        <v>1</v>
      </c>
      <c r="B54" s="36" t="s">
        <v>362</v>
      </c>
      <c r="C54" s="1" t="s">
        <v>363</v>
      </c>
      <c r="D54" s="1"/>
      <c r="E54" s="1"/>
      <c r="F54" s="1"/>
      <c r="G54" s="1" t="s">
        <v>299</v>
      </c>
      <c r="H54" s="1"/>
      <c r="I54" s="1"/>
      <c r="J54" s="1"/>
      <c r="K54" s="1" t="s">
        <v>89</v>
      </c>
      <c r="L54" s="1"/>
      <c r="M54" s="1"/>
      <c r="N54" s="1"/>
      <c r="O54" s="48" t="s">
        <v>269</v>
      </c>
      <c r="P54" s="48"/>
      <c r="Q54" s="48"/>
      <c r="R54" s="48" t="s">
        <v>270</v>
      </c>
      <c r="S54" s="48"/>
      <c r="T54" s="48"/>
      <c r="U54" s="48"/>
      <c r="V54" s="48"/>
      <c r="W54" s="48"/>
      <c r="X54" s="49" t="s">
        <v>637</v>
      </c>
      <c r="Y54" s="49"/>
    </row>
    <row r="55" spans="1:25" ht="48" customHeight="1" x14ac:dyDescent="0.2">
      <c r="A55" s="35">
        <v>2</v>
      </c>
      <c r="B55" s="36" t="s">
        <v>297</v>
      </c>
      <c r="C55" s="1" t="s">
        <v>364</v>
      </c>
      <c r="D55" s="1"/>
      <c r="E55" s="1"/>
      <c r="F55" s="1"/>
      <c r="G55" s="1" t="s">
        <v>334</v>
      </c>
      <c r="H55" s="1"/>
      <c r="I55" s="1"/>
      <c r="J55" s="1"/>
      <c r="K55" s="1" t="s">
        <v>89</v>
      </c>
      <c r="L55" s="1"/>
      <c r="M55" s="1"/>
      <c r="N55" s="1"/>
      <c r="O55" s="48" t="s">
        <v>269</v>
      </c>
      <c r="P55" s="48"/>
      <c r="Q55" s="48"/>
      <c r="R55" s="48"/>
      <c r="S55" s="48"/>
      <c r="T55" s="48" t="s">
        <v>270</v>
      </c>
      <c r="U55" s="48"/>
      <c r="V55" s="48"/>
      <c r="W55" s="48"/>
      <c r="X55" s="49" t="s">
        <v>335</v>
      </c>
      <c r="Y55" s="49"/>
    </row>
    <row r="56" spans="1:25" ht="66" customHeight="1" x14ac:dyDescent="0.2">
      <c r="A56" s="35">
        <v>3</v>
      </c>
      <c r="B56" s="36" t="s">
        <v>353</v>
      </c>
      <c r="C56" s="1" t="s">
        <v>365</v>
      </c>
      <c r="D56" s="1"/>
      <c r="E56" s="1"/>
      <c r="F56" s="1"/>
      <c r="G56" s="1" t="s">
        <v>304</v>
      </c>
      <c r="H56" s="1"/>
      <c r="I56" s="1"/>
      <c r="J56" s="1"/>
      <c r="K56" s="1" t="s">
        <v>80</v>
      </c>
      <c r="L56" s="1"/>
      <c r="M56" s="1"/>
      <c r="N56" s="1"/>
      <c r="O56" s="48" t="s">
        <v>269</v>
      </c>
      <c r="P56" s="48"/>
      <c r="Q56" s="48"/>
      <c r="R56" s="48"/>
      <c r="S56" s="48"/>
      <c r="T56" s="48" t="s">
        <v>270</v>
      </c>
      <c r="U56" s="48"/>
      <c r="V56" s="48"/>
      <c r="W56" s="48"/>
      <c r="X56" s="49" t="s">
        <v>366</v>
      </c>
      <c r="Y56" s="49"/>
    </row>
    <row r="57" spans="1:25" ht="48" customHeight="1" x14ac:dyDescent="0.2">
      <c r="A57" s="35">
        <v>4</v>
      </c>
      <c r="B57" s="36" t="s">
        <v>367</v>
      </c>
      <c r="C57" s="1" t="s">
        <v>368</v>
      </c>
      <c r="D57" s="1"/>
      <c r="E57" s="1"/>
      <c r="F57" s="1"/>
      <c r="G57" s="1" t="s">
        <v>281</v>
      </c>
      <c r="H57" s="1"/>
      <c r="I57" s="1"/>
      <c r="J57" s="1"/>
      <c r="K57" s="1" t="s">
        <v>282</v>
      </c>
      <c r="L57" s="1"/>
      <c r="M57" s="1"/>
      <c r="N57" s="1"/>
      <c r="O57" s="48" t="s">
        <v>269</v>
      </c>
      <c r="P57" s="48"/>
      <c r="Q57" s="48"/>
      <c r="R57" s="48"/>
      <c r="S57" s="48"/>
      <c r="T57" s="48"/>
      <c r="U57" s="48"/>
      <c r="V57" s="48"/>
      <c r="W57" s="48"/>
      <c r="X57" s="49"/>
      <c r="Y57" s="49"/>
    </row>
    <row r="58" spans="1:25" ht="69" customHeight="1" x14ac:dyDescent="0.2">
      <c r="A58" s="35">
        <v>5</v>
      </c>
      <c r="B58" s="36" t="s">
        <v>369</v>
      </c>
      <c r="C58" s="1" t="s">
        <v>370</v>
      </c>
      <c r="D58" s="1"/>
      <c r="E58" s="1"/>
      <c r="F58" s="1"/>
      <c r="G58" s="1" t="s">
        <v>57</v>
      </c>
      <c r="H58" s="1"/>
      <c r="I58" s="1"/>
      <c r="J58" s="1"/>
      <c r="K58" s="1" t="s">
        <v>59</v>
      </c>
      <c r="L58" s="1"/>
      <c r="M58" s="1"/>
      <c r="N58" s="1"/>
      <c r="O58" s="48" t="s">
        <v>269</v>
      </c>
      <c r="P58" s="48"/>
      <c r="Q58" s="48"/>
      <c r="R58" s="48"/>
      <c r="S58" s="48"/>
      <c r="T58" s="48"/>
      <c r="U58" s="48"/>
      <c r="V58" s="48"/>
      <c r="W58" s="48"/>
      <c r="X58" s="49"/>
      <c r="Y58" s="49"/>
    </row>
    <row r="59" spans="1:25" ht="48" customHeight="1" x14ac:dyDescent="0.2">
      <c r="A59" s="35">
        <v>6</v>
      </c>
      <c r="B59" s="36" t="s">
        <v>371</v>
      </c>
      <c r="C59" s="1" t="s">
        <v>372</v>
      </c>
      <c r="D59" s="1"/>
      <c r="E59" s="1"/>
      <c r="F59" s="1"/>
      <c r="G59" s="1" t="s">
        <v>324</v>
      </c>
      <c r="H59" s="1"/>
      <c r="I59" s="1"/>
      <c r="J59" s="1"/>
      <c r="K59" s="1" t="s">
        <v>325</v>
      </c>
      <c r="L59" s="1"/>
      <c r="M59" s="1"/>
      <c r="N59" s="1"/>
      <c r="O59" s="48" t="s">
        <v>283</v>
      </c>
      <c r="P59" s="48"/>
      <c r="Q59" s="48"/>
      <c r="R59" s="48"/>
      <c r="S59" s="48"/>
      <c r="T59" s="48"/>
      <c r="U59" s="48"/>
      <c r="V59" s="48"/>
      <c r="W59" s="48"/>
      <c r="X59" s="49"/>
      <c r="Y59" s="49"/>
    </row>
    <row r="60" spans="1:25" ht="48" customHeight="1" x14ac:dyDescent="0.2">
      <c r="A60" s="35">
        <v>7</v>
      </c>
      <c r="B60" s="36" t="s">
        <v>373</v>
      </c>
      <c r="C60" s="1" t="s">
        <v>374</v>
      </c>
      <c r="D60" s="1"/>
      <c r="E60" s="1"/>
      <c r="F60" s="1"/>
      <c r="G60" s="1" t="s">
        <v>87</v>
      </c>
      <c r="H60" s="1"/>
      <c r="I60" s="1"/>
      <c r="J60" s="1"/>
      <c r="K60" s="1" t="s">
        <v>89</v>
      </c>
      <c r="L60" s="1"/>
      <c r="M60" s="1"/>
      <c r="N60" s="1"/>
      <c r="O60" s="48" t="s">
        <v>269</v>
      </c>
      <c r="P60" s="48"/>
      <c r="Q60" s="48"/>
      <c r="R60" s="48"/>
      <c r="S60" s="48"/>
      <c r="T60" s="48"/>
      <c r="U60" s="48"/>
      <c r="V60" s="48"/>
      <c r="W60" s="48"/>
      <c r="X60" s="49" t="s">
        <v>332</v>
      </c>
      <c r="Y60" s="49"/>
    </row>
    <row r="61" spans="1:25" ht="48" customHeight="1" x14ac:dyDescent="0.2">
      <c r="A61" s="35">
        <v>8</v>
      </c>
      <c r="B61" s="36" t="s">
        <v>284</v>
      </c>
      <c r="C61" s="1" t="s">
        <v>375</v>
      </c>
      <c r="D61" s="1"/>
      <c r="E61" s="1"/>
      <c r="F61" s="1"/>
      <c r="G61" s="1" t="s">
        <v>47</v>
      </c>
      <c r="H61" s="1"/>
      <c r="I61" s="1"/>
      <c r="J61" s="1"/>
      <c r="K61" s="1" t="s">
        <v>49</v>
      </c>
      <c r="L61" s="1"/>
      <c r="M61" s="1"/>
      <c r="N61" s="1"/>
      <c r="O61" s="48" t="s">
        <v>269</v>
      </c>
      <c r="P61" s="48"/>
      <c r="Q61" s="48"/>
      <c r="R61" s="48"/>
      <c r="S61" s="48"/>
      <c r="T61" s="48"/>
      <c r="U61" s="48"/>
      <c r="V61" s="48"/>
      <c r="W61" s="48"/>
      <c r="X61" s="49" t="s">
        <v>286</v>
      </c>
      <c r="Y61" s="49"/>
    </row>
    <row r="62" spans="1:25" ht="24" customHeight="1" x14ac:dyDescent="0.2"/>
    <row r="63" spans="1:25" ht="54" customHeight="1" x14ac:dyDescent="0.2">
      <c r="A63" s="29">
        <f>'Invetario de Tablas'!A10</f>
        <v>7</v>
      </c>
      <c r="B63" s="30" t="s">
        <v>177</v>
      </c>
      <c r="C63" s="6" t="str">
        <f>'Invetario de Tablas'!B10</f>
        <v>comentario</v>
      </c>
      <c r="D63" s="6"/>
      <c r="E63" s="6"/>
      <c r="F63" s="6"/>
      <c r="G63" s="5" t="s">
        <v>178</v>
      </c>
      <c r="H63" s="5"/>
      <c r="I63" s="5"/>
      <c r="J63" s="5"/>
      <c r="K63" s="4" t="str">
        <f>'Invetario de Tablas'!C10</f>
        <v>Comentarios realizados sobre las publicaciones de otros usuarios.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31" t="s">
        <v>255</v>
      </c>
      <c r="Y63" s="32" t="s">
        <v>256</v>
      </c>
    </row>
    <row r="64" spans="1:25" ht="45" customHeight="1" x14ac:dyDescent="0.2">
      <c r="A64" s="33" t="s">
        <v>1</v>
      </c>
      <c r="B64" s="34" t="s">
        <v>257</v>
      </c>
      <c r="C64" s="3" t="s">
        <v>258</v>
      </c>
      <c r="D64" s="3"/>
      <c r="E64" s="3"/>
      <c r="F64" s="3"/>
      <c r="G64" s="3" t="s">
        <v>259</v>
      </c>
      <c r="H64" s="3"/>
      <c r="I64" s="3"/>
      <c r="J64" s="3"/>
      <c r="K64" s="3" t="s">
        <v>260</v>
      </c>
      <c r="L64" s="3"/>
      <c r="M64" s="3"/>
      <c r="N64" s="3"/>
      <c r="O64" s="3" t="s">
        <v>261</v>
      </c>
      <c r="P64" s="3"/>
      <c r="Q64" s="3"/>
      <c r="R64" s="3" t="s">
        <v>262</v>
      </c>
      <c r="S64" s="3"/>
      <c r="T64" s="3" t="s">
        <v>263</v>
      </c>
      <c r="U64" s="3"/>
      <c r="V64" s="3" t="s">
        <v>264</v>
      </c>
      <c r="W64" s="3"/>
      <c r="X64" s="2" t="s">
        <v>265</v>
      </c>
      <c r="Y64" s="2"/>
    </row>
    <row r="65" spans="1:25" ht="48" customHeight="1" x14ac:dyDescent="0.2">
      <c r="A65" s="35">
        <v>1</v>
      </c>
      <c r="B65" s="36" t="s">
        <v>362</v>
      </c>
      <c r="C65" s="1" t="s">
        <v>376</v>
      </c>
      <c r="D65" s="1"/>
      <c r="E65" s="1"/>
      <c r="F65" s="1"/>
      <c r="G65" s="1" t="s">
        <v>334</v>
      </c>
      <c r="H65" s="1"/>
      <c r="I65" s="1"/>
      <c r="J65" s="1"/>
      <c r="K65" s="1" t="s">
        <v>89</v>
      </c>
      <c r="L65" s="1"/>
      <c r="M65" s="1"/>
      <c r="N65" s="1"/>
      <c r="O65" s="48" t="s">
        <v>269</v>
      </c>
      <c r="P65" s="48"/>
      <c r="Q65" s="48"/>
      <c r="R65" s="48" t="s">
        <v>270</v>
      </c>
      <c r="S65" s="48"/>
      <c r="T65" s="48" t="s">
        <v>270</v>
      </c>
      <c r="U65" s="48"/>
      <c r="V65" s="48"/>
      <c r="W65" s="48"/>
      <c r="X65" s="49" t="s">
        <v>377</v>
      </c>
      <c r="Y65" s="49"/>
    </row>
    <row r="66" spans="1:25" ht="48" customHeight="1" x14ac:dyDescent="0.2">
      <c r="A66" s="35">
        <v>2</v>
      </c>
      <c r="B66" s="36" t="s">
        <v>378</v>
      </c>
      <c r="C66" s="1" t="s">
        <v>379</v>
      </c>
      <c r="D66" s="1"/>
      <c r="E66" s="1"/>
      <c r="F66" s="1"/>
      <c r="G66" s="1" t="s">
        <v>304</v>
      </c>
      <c r="H66" s="1"/>
      <c r="I66" s="1"/>
      <c r="J66" s="1"/>
      <c r="K66" s="1" t="s">
        <v>80</v>
      </c>
      <c r="L66" s="1"/>
      <c r="M66" s="1"/>
      <c r="N66" s="1"/>
      <c r="O66" s="48" t="s">
        <v>269</v>
      </c>
      <c r="P66" s="48"/>
      <c r="Q66" s="48"/>
      <c r="R66" s="48" t="s">
        <v>270</v>
      </c>
      <c r="S66" s="48"/>
      <c r="T66" s="48"/>
      <c r="U66" s="48"/>
      <c r="V66" s="48"/>
      <c r="W66" s="48"/>
      <c r="X66" s="49" t="s">
        <v>380</v>
      </c>
      <c r="Y66" s="49"/>
    </row>
    <row r="67" spans="1:25" ht="30" customHeight="1" x14ac:dyDescent="0.2">
      <c r="A67" s="35">
        <v>3</v>
      </c>
      <c r="B67" s="36" t="s">
        <v>297</v>
      </c>
      <c r="C67" s="1" t="s">
        <v>381</v>
      </c>
      <c r="D67" s="1"/>
      <c r="E67" s="1"/>
      <c r="F67" s="1"/>
      <c r="G67" s="1" t="s">
        <v>334</v>
      </c>
      <c r="H67" s="1"/>
      <c r="I67" s="1"/>
      <c r="J67" s="1"/>
      <c r="K67" s="1" t="s">
        <v>89</v>
      </c>
      <c r="L67" s="1"/>
      <c r="M67" s="1"/>
      <c r="N67" s="1"/>
      <c r="O67" s="48" t="s">
        <v>269</v>
      </c>
      <c r="P67" s="48"/>
      <c r="Q67" s="48"/>
      <c r="R67" s="48"/>
      <c r="S67" s="48"/>
      <c r="T67" s="48" t="s">
        <v>270</v>
      </c>
      <c r="U67" s="48"/>
      <c r="V67" s="48"/>
      <c r="W67" s="48"/>
      <c r="X67" s="49" t="s">
        <v>335</v>
      </c>
      <c r="Y67" s="49"/>
    </row>
    <row r="68" spans="1:25" ht="69" customHeight="1" x14ac:dyDescent="0.2">
      <c r="A68" s="35">
        <v>4</v>
      </c>
      <c r="B68" s="36" t="s">
        <v>382</v>
      </c>
      <c r="C68" s="1" t="s">
        <v>383</v>
      </c>
      <c r="D68" s="1"/>
      <c r="E68" s="1"/>
      <c r="F68" s="1"/>
      <c r="G68" s="1" t="s">
        <v>57</v>
      </c>
      <c r="H68" s="1"/>
      <c r="I68" s="1"/>
      <c r="J68" s="1"/>
      <c r="K68" s="1" t="s">
        <v>59</v>
      </c>
      <c r="L68" s="1"/>
      <c r="M68" s="1"/>
      <c r="N68" s="1"/>
      <c r="O68" s="48" t="s">
        <v>269</v>
      </c>
      <c r="P68" s="48"/>
      <c r="Q68" s="48"/>
      <c r="R68" s="48"/>
      <c r="S68" s="48"/>
      <c r="T68" s="48"/>
      <c r="U68" s="48"/>
      <c r="V68" s="48"/>
      <c r="W68" s="48"/>
      <c r="X68" s="49"/>
      <c r="Y68" s="49"/>
    </row>
    <row r="69" spans="1:25" ht="48" customHeight="1" x14ac:dyDescent="0.2">
      <c r="A69" s="35">
        <v>5</v>
      </c>
      <c r="B69" s="36" t="s">
        <v>384</v>
      </c>
      <c r="C69" s="1" t="s">
        <v>385</v>
      </c>
      <c r="D69" s="1"/>
      <c r="E69" s="1"/>
      <c r="F69" s="1"/>
      <c r="G69" s="1" t="s">
        <v>87</v>
      </c>
      <c r="H69" s="1"/>
      <c r="I69" s="1"/>
      <c r="J69" s="1"/>
      <c r="K69" s="1" t="s">
        <v>89</v>
      </c>
      <c r="L69" s="1"/>
      <c r="M69" s="1"/>
      <c r="N69" s="1"/>
      <c r="O69" s="48" t="s">
        <v>269</v>
      </c>
      <c r="P69" s="48"/>
      <c r="Q69" s="48"/>
      <c r="R69" s="48"/>
      <c r="S69" s="48"/>
      <c r="T69" s="48"/>
      <c r="U69" s="48"/>
      <c r="V69" s="48"/>
      <c r="W69" s="48"/>
      <c r="X69" s="49" t="s">
        <v>332</v>
      </c>
      <c r="Y69" s="49"/>
    </row>
    <row r="70" spans="1:25" ht="24" customHeight="1" x14ac:dyDescent="0.2"/>
    <row r="71" spans="1:25" ht="54" customHeight="1" x14ac:dyDescent="0.2">
      <c r="A71" s="29">
        <f>'Invetario de Tablas'!A11</f>
        <v>8</v>
      </c>
      <c r="B71" s="30" t="s">
        <v>177</v>
      </c>
      <c r="C71" s="6" t="str">
        <f>'Invetario de Tablas'!B11</f>
        <v>tipo_reaccion</v>
      </c>
      <c r="D71" s="6"/>
      <c r="E71" s="6"/>
      <c r="F71" s="6"/>
      <c r="G71" s="5" t="s">
        <v>178</v>
      </c>
      <c r="H71" s="5"/>
      <c r="I71" s="5"/>
      <c r="J71" s="5"/>
      <c r="K71" s="4" t="str">
        <f>'Invetario de Tablas'!C11</f>
        <v>Catálogo de tipos de reacción (me gusta, me encanta, útil, interesante).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31" t="s">
        <v>255</v>
      </c>
      <c r="Y71" s="32" t="s">
        <v>256</v>
      </c>
    </row>
    <row r="72" spans="1:25" ht="45" customHeight="1" x14ac:dyDescent="0.2">
      <c r="A72" s="33" t="s">
        <v>1</v>
      </c>
      <c r="B72" s="34" t="s">
        <v>257</v>
      </c>
      <c r="C72" s="3" t="s">
        <v>258</v>
      </c>
      <c r="D72" s="3"/>
      <c r="E72" s="3"/>
      <c r="F72" s="3"/>
      <c r="G72" s="3" t="s">
        <v>259</v>
      </c>
      <c r="H72" s="3"/>
      <c r="I72" s="3"/>
      <c r="J72" s="3"/>
      <c r="K72" s="3" t="s">
        <v>260</v>
      </c>
      <c r="L72" s="3"/>
      <c r="M72" s="3"/>
      <c r="N72" s="3"/>
      <c r="O72" s="3" t="s">
        <v>261</v>
      </c>
      <c r="P72" s="3"/>
      <c r="Q72" s="3"/>
      <c r="R72" s="3" t="s">
        <v>262</v>
      </c>
      <c r="S72" s="3"/>
      <c r="T72" s="3" t="s">
        <v>263</v>
      </c>
      <c r="U72" s="3"/>
      <c r="V72" s="3" t="s">
        <v>264</v>
      </c>
      <c r="W72" s="3"/>
      <c r="X72" s="2" t="s">
        <v>265</v>
      </c>
      <c r="Y72" s="2"/>
    </row>
    <row r="73" spans="1:25" ht="48" customHeight="1" x14ac:dyDescent="0.2">
      <c r="A73" s="35">
        <v>1</v>
      </c>
      <c r="B73" s="36" t="s">
        <v>386</v>
      </c>
      <c r="C73" s="1" t="s">
        <v>387</v>
      </c>
      <c r="D73" s="1"/>
      <c r="E73" s="1"/>
      <c r="F73" s="1"/>
      <c r="G73" s="1" t="s">
        <v>268</v>
      </c>
      <c r="H73" s="1"/>
      <c r="I73" s="1"/>
      <c r="J73" s="1"/>
      <c r="K73" s="1" t="s">
        <v>80</v>
      </c>
      <c r="L73" s="1"/>
      <c r="M73" s="1"/>
      <c r="N73" s="1"/>
      <c r="O73" s="48" t="s">
        <v>269</v>
      </c>
      <c r="P73" s="48"/>
      <c r="Q73" s="48"/>
      <c r="R73" s="48" t="s">
        <v>270</v>
      </c>
      <c r="S73" s="48"/>
      <c r="T73" s="48"/>
      <c r="U73" s="48"/>
      <c r="V73" s="48"/>
      <c r="W73" s="48"/>
      <c r="X73" s="49" t="s">
        <v>637</v>
      </c>
      <c r="Y73" s="49"/>
    </row>
    <row r="74" spans="1:25" ht="48" customHeight="1" x14ac:dyDescent="0.2">
      <c r="A74" s="35">
        <v>2</v>
      </c>
      <c r="B74" s="36" t="s">
        <v>388</v>
      </c>
      <c r="C74" s="1" t="s">
        <v>389</v>
      </c>
      <c r="D74" s="1"/>
      <c r="E74" s="1"/>
      <c r="F74" s="1"/>
      <c r="G74" s="1" t="s">
        <v>357</v>
      </c>
      <c r="H74" s="1"/>
      <c r="I74" s="1"/>
      <c r="J74" s="1"/>
      <c r="K74" s="1" t="s">
        <v>358</v>
      </c>
      <c r="L74" s="1"/>
      <c r="M74" s="1"/>
      <c r="N74" s="1"/>
      <c r="O74" s="48" t="s">
        <v>269</v>
      </c>
      <c r="P74" s="48"/>
      <c r="Q74" s="48"/>
      <c r="R74" s="48"/>
      <c r="S74" s="48"/>
      <c r="T74" s="48"/>
      <c r="U74" s="48"/>
      <c r="V74" s="48" t="s">
        <v>270</v>
      </c>
      <c r="W74" s="48"/>
      <c r="X74" s="49"/>
      <c r="Y74" s="49"/>
    </row>
    <row r="75" spans="1:25" ht="69" customHeight="1" x14ac:dyDescent="0.2">
      <c r="A75" s="35">
        <v>3</v>
      </c>
      <c r="B75" s="36" t="s">
        <v>390</v>
      </c>
      <c r="C75" s="1" t="s">
        <v>391</v>
      </c>
      <c r="D75" s="1"/>
      <c r="E75" s="1"/>
      <c r="F75" s="1"/>
      <c r="G75" s="1" t="s">
        <v>281</v>
      </c>
      <c r="H75" s="1"/>
      <c r="I75" s="1"/>
      <c r="J75" s="1"/>
      <c r="K75" s="1" t="s">
        <v>282</v>
      </c>
      <c r="L75" s="1"/>
      <c r="M75" s="1"/>
      <c r="N75" s="1"/>
      <c r="O75" s="48" t="s">
        <v>283</v>
      </c>
      <c r="P75" s="48"/>
      <c r="Q75" s="48"/>
      <c r="R75" s="48"/>
      <c r="S75" s="48"/>
      <c r="T75" s="48"/>
      <c r="U75" s="48"/>
      <c r="V75" s="48"/>
      <c r="W75" s="48"/>
      <c r="X75" s="49"/>
      <c r="Y75" s="49"/>
    </row>
    <row r="76" spans="1:25" ht="48" customHeight="1" x14ac:dyDescent="0.2">
      <c r="A76" s="35">
        <v>4</v>
      </c>
      <c r="B76" s="36" t="s">
        <v>284</v>
      </c>
      <c r="C76" s="1" t="s">
        <v>361</v>
      </c>
      <c r="D76" s="1"/>
      <c r="E76" s="1"/>
      <c r="F76" s="1"/>
      <c r="G76" s="1" t="s">
        <v>47</v>
      </c>
      <c r="H76" s="1"/>
      <c r="I76" s="1"/>
      <c r="J76" s="1"/>
      <c r="K76" s="1" t="s">
        <v>49</v>
      </c>
      <c r="L76" s="1"/>
      <c r="M76" s="1"/>
      <c r="N76" s="1"/>
      <c r="O76" s="48" t="s">
        <v>269</v>
      </c>
      <c r="P76" s="48"/>
      <c r="Q76" s="48"/>
      <c r="R76" s="48"/>
      <c r="S76" s="48"/>
      <c r="T76" s="48"/>
      <c r="U76" s="48"/>
      <c r="V76" s="48"/>
      <c r="W76" s="48"/>
      <c r="X76" s="49" t="s">
        <v>286</v>
      </c>
      <c r="Y76" s="49"/>
    </row>
    <row r="77" spans="1:25" ht="48" customHeight="1" x14ac:dyDescent="0.2">
      <c r="A77" s="35">
        <v>5</v>
      </c>
      <c r="B77" s="36" t="s">
        <v>392</v>
      </c>
      <c r="C77" s="1" t="s">
        <v>393</v>
      </c>
      <c r="D77" s="1"/>
      <c r="E77" s="1"/>
      <c r="F77" s="1"/>
      <c r="G77" s="1" t="s">
        <v>310</v>
      </c>
      <c r="H77" s="1"/>
      <c r="I77" s="1"/>
      <c r="J77" s="1"/>
      <c r="K77" s="1" t="s">
        <v>311</v>
      </c>
      <c r="L77" s="1"/>
      <c r="M77" s="1"/>
      <c r="N77" s="1"/>
      <c r="O77" s="48" t="s">
        <v>283</v>
      </c>
      <c r="P77" s="48"/>
      <c r="Q77" s="48"/>
      <c r="R77" s="48"/>
      <c r="S77" s="48"/>
      <c r="T77" s="48"/>
      <c r="U77" s="48"/>
      <c r="V77" s="48"/>
      <c r="W77" s="48"/>
      <c r="X77" s="49"/>
      <c r="Y77" s="49"/>
    </row>
    <row r="78" spans="1:25" ht="24" customHeight="1" x14ac:dyDescent="0.2"/>
    <row r="79" spans="1:25" ht="54" customHeight="1" x14ac:dyDescent="0.2">
      <c r="A79" s="29">
        <f>'Invetario de Tablas'!A12</f>
        <v>9</v>
      </c>
      <c r="B79" s="30" t="s">
        <v>177</v>
      </c>
      <c r="C79" s="6" t="str">
        <f>'Invetario de Tablas'!B12</f>
        <v>reaccion</v>
      </c>
      <c r="D79" s="6"/>
      <c r="E79" s="6"/>
      <c r="F79" s="6"/>
      <c r="G79" s="5" t="s">
        <v>178</v>
      </c>
      <c r="H79" s="5"/>
      <c r="I79" s="5"/>
      <c r="J79" s="5"/>
      <c r="K79" s="4" t="str">
        <f>'Invetario de Tablas'!C12</f>
        <v>Interacciones o reacciones tipo "like" dadas en las publicaciones.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31" t="s">
        <v>255</v>
      </c>
      <c r="Y79" s="32" t="s">
        <v>256</v>
      </c>
    </row>
    <row r="80" spans="1:25" ht="45" customHeight="1" x14ac:dyDescent="0.2">
      <c r="A80" s="33" t="s">
        <v>1</v>
      </c>
      <c r="B80" s="34" t="s">
        <v>257</v>
      </c>
      <c r="C80" s="3" t="s">
        <v>258</v>
      </c>
      <c r="D80" s="3"/>
      <c r="E80" s="3"/>
      <c r="F80" s="3"/>
      <c r="G80" s="3" t="s">
        <v>259</v>
      </c>
      <c r="H80" s="3"/>
      <c r="I80" s="3"/>
      <c r="J80" s="3"/>
      <c r="K80" s="3" t="s">
        <v>260</v>
      </c>
      <c r="L80" s="3"/>
      <c r="M80" s="3"/>
      <c r="N80" s="3"/>
      <c r="O80" s="3" t="s">
        <v>261</v>
      </c>
      <c r="P80" s="3"/>
      <c r="Q80" s="3"/>
      <c r="R80" s="3" t="s">
        <v>262</v>
      </c>
      <c r="S80" s="3"/>
      <c r="T80" s="3" t="s">
        <v>263</v>
      </c>
      <c r="U80" s="3"/>
      <c r="V80" s="3" t="s">
        <v>264</v>
      </c>
      <c r="W80" s="3"/>
      <c r="X80" s="2" t="s">
        <v>265</v>
      </c>
      <c r="Y80" s="2"/>
    </row>
    <row r="81" spans="1:25" ht="48" customHeight="1" x14ac:dyDescent="0.2">
      <c r="A81" s="35">
        <v>1</v>
      </c>
      <c r="B81" s="36" t="s">
        <v>362</v>
      </c>
      <c r="C81" s="1" t="s">
        <v>394</v>
      </c>
      <c r="D81" s="1"/>
      <c r="E81" s="1"/>
      <c r="F81" s="1"/>
      <c r="G81" s="1" t="s">
        <v>334</v>
      </c>
      <c r="H81" s="1"/>
      <c r="I81" s="1"/>
      <c r="J81" s="1"/>
      <c r="K81" s="1" t="s">
        <v>89</v>
      </c>
      <c r="L81" s="1"/>
      <c r="M81" s="1"/>
      <c r="N81" s="1"/>
      <c r="O81" s="48" t="s">
        <v>269</v>
      </c>
      <c r="P81" s="48"/>
      <c r="Q81" s="48"/>
      <c r="R81" s="48" t="s">
        <v>270</v>
      </c>
      <c r="S81" s="48"/>
      <c r="T81" s="48" t="s">
        <v>270</v>
      </c>
      <c r="U81" s="48"/>
      <c r="V81" s="48"/>
      <c r="W81" s="48"/>
      <c r="X81" s="49" t="s">
        <v>377</v>
      </c>
      <c r="Y81" s="49"/>
    </row>
    <row r="82" spans="1:25" ht="69" customHeight="1" x14ac:dyDescent="0.2">
      <c r="A82" s="35">
        <v>2</v>
      </c>
      <c r="B82" s="36" t="s">
        <v>297</v>
      </c>
      <c r="C82" s="1" t="s">
        <v>395</v>
      </c>
      <c r="D82" s="1"/>
      <c r="E82" s="1"/>
      <c r="F82" s="1"/>
      <c r="G82" s="1" t="s">
        <v>334</v>
      </c>
      <c r="H82" s="1"/>
      <c r="I82" s="1"/>
      <c r="J82" s="1"/>
      <c r="K82" s="1" t="s">
        <v>89</v>
      </c>
      <c r="L82" s="1"/>
      <c r="M82" s="1"/>
      <c r="N82" s="1"/>
      <c r="O82" s="48" t="s">
        <v>269</v>
      </c>
      <c r="P82" s="48"/>
      <c r="Q82" s="48"/>
      <c r="R82" s="48" t="s">
        <v>270</v>
      </c>
      <c r="S82" s="48"/>
      <c r="T82" s="48" t="s">
        <v>270</v>
      </c>
      <c r="U82" s="48"/>
      <c r="V82" s="48"/>
      <c r="W82" s="48"/>
      <c r="X82" s="49" t="s">
        <v>396</v>
      </c>
      <c r="Y82" s="49"/>
    </row>
    <row r="83" spans="1:25" ht="48" customHeight="1" x14ac:dyDescent="0.2">
      <c r="A83" s="35">
        <v>3</v>
      </c>
      <c r="B83" s="36" t="s">
        <v>386</v>
      </c>
      <c r="C83" s="1" t="s">
        <v>397</v>
      </c>
      <c r="D83" s="1"/>
      <c r="E83" s="1"/>
      <c r="F83" s="1"/>
      <c r="G83" s="1" t="s">
        <v>304</v>
      </c>
      <c r="H83" s="1"/>
      <c r="I83" s="1"/>
      <c r="J83" s="1"/>
      <c r="K83" s="1" t="s">
        <v>80</v>
      </c>
      <c r="L83" s="1"/>
      <c r="M83" s="1"/>
      <c r="N83" s="1"/>
      <c r="O83" s="48" t="s">
        <v>269</v>
      </c>
      <c r="P83" s="48"/>
      <c r="Q83" s="48"/>
      <c r="R83" s="48"/>
      <c r="S83" s="48"/>
      <c r="T83" s="48" t="s">
        <v>270</v>
      </c>
      <c r="U83" s="48"/>
      <c r="V83" s="48"/>
      <c r="W83" s="48"/>
      <c r="X83" s="49" t="s">
        <v>398</v>
      </c>
      <c r="Y83" s="49"/>
    </row>
    <row r="84" spans="1:25" ht="48" customHeight="1" x14ac:dyDescent="0.2">
      <c r="A84" s="35">
        <v>4</v>
      </c>
      <c r="B84" s="36" t="s">
        <v>399</v>
      </c>
      <c r="C84" s="1" t="s">
        <v>400</v>
      </c>
      <c r="D84" s="1"/>
      <c r="E84" s="1"/>
      <c r="F84" s="1"/>
      <c r="G84" s="1" t="s">
        <v>87</v>
      </c>
      <c r="H84" s="1"/>
      <c r="I84" s="1"/>
      <c r="J84" s="1"/>
      <c r="K84" s="1" t="s">
        <v>89</v>
      </c>
      <c r="L84" s="1"/>
      <c r="M84" s="1"/>
      <c r="N84" s="1"/>
      <c r="O84" s="48" t="s">
        <v>269</v>
      </c>
      <c r="P84" s="48"/>
      <c r="Q84" s="48"/>
      <c r="R84" s="48"/>
      <c r="S84" s="48"/>
      <c r="T84" s="48"/>
      <c r="U84" s="48"/>
      <c r="V84" s="48"/>
      <c r="W84" s="48"/>
      <c r="X84" s="49" t="s">
        <v>332</v>
      </c>
      <c r="Y84" s="49"/>
    </row>
    <row r="85" spans="1:25" ht="24" customHeight="1" x14ac:dyDescent="0.2"/>
    <row r="86" spans="1:25" ht="54" customHeight="1" x14ac:dyDescent="0.2">
      <c r="A86" s="29">
        <f>'Invetario de Tablas'!A13</f>
        <v>10</v>
      </c>
      <c r="B86" s="30" t="s">
        <v>177</v>
      </c>
      <c r="C86" s="6" t="str">
        <f>'Invetario de Tablas'!B13</f>
        <v>multimedia</v>
      </c>
      <c r="D86" s="6"/>
      <c r="E86" s="6"/>
      <c r="F86" s="6"/>
      <c r="G86" s="5" t="s">
        <v>178</v>
      </c>
      <c r="H86" s="5"/>
      <c r="I86" s="5"/>
      <c r="J86" s="5"/>
      <c r="K86" s="4" t="str">
        <f>'Invetario de Tablas'!C13</f>
        <v>Archivos (imágenes/documentos/videos) adjuntos a una publicación.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31" t="s">
        <v>255</v>
      </c>
      <c r="Y86" s="32" t="s">
        <v>256</v>
      </c>
    </row>
    <row r="87" spans="1:25" ht="45" customHeight="1" x14ac:dyDescent="0.2">
      <c r="A87" s="33" t="s">
        <v>1</v>
      </c>
      <c r="B87" s="34" t="s">
        <v>257</v>
      </c>
      <c r="C87" s="3" t="s">
        <v>258</v>
      </c>
      <c r="D87" s="3"/>
      <c r="E87" s="3"/>
      <c r="F87" s="3"/>
      <c r="G87" s="3" t="s">
        <v>259</v>
      </c>
      <c r="H87" s="3"/>
      <c r="I87" s="3"/>
      <c r="J87" s="3"/>
      <c r="K87" s="3" t="s">
        <v>260</v>
      </c>
      <c r="L87" s="3"/>
      <c r="M87" s="3"/>
      <c r="N87" s="3"/>
      <c r="O87" s="3" t="s">
        <v>261</v>
      </c>
      <c r="P87" s="3"/>
      <c r="Q87" s="3"/>
      <c r="R87" s="3" t="s">
        <v>262</v>
      </c>
      <c r="S87" s="3"/>
      <c r="T87" s="3" t="s">
        <v>263</v>
      </c>
      <c r="U87" s="3"/>
      <c r="V87" s="3" t="s">
        <v>264</v>
      </c>
      <c r="W87" s="3"/>
      <c r="X87" s="2" t="s">
        <v>265</v>
      </c>
      <c r="Y87" s="2"/>
    </row>
    <row r="88" spans="1:25" ht="48" customHeight="1" x14ac:dyDescent="0.2">
      <c r="A88" s="35">
        <v>1</v>
      </c>
      <c r="B88" s="36" t="s">
        <v>362</v>
      </c>
      <c r="C88" s="1" t="s">
        <v>401</v>
      </c>
      <c r="D88" s="1"/>
      <c r="E88" s="1"/>
      <c r="F88" s="1"/>
      <c r="G88" s="1" t="s">
        <v>334</v>
      </c>
      <c r="H88" s="1"/>
      <c r="I88" s="1"/>
      <c r="J88" s="1"/>
      <c r="K88" s="1" t="s">
        <v>89</v>
      </c>
      <c r="L88" s="1"/>
      <c r="M88" s="1"/>
      <c r="N88" s="1"/>
      <c r="O88" s="48" t="s">
        <v>269</v>
      </c>
      <c r="P88" s="48"/>
      <c r="Q88" s="48"/>
      <c r="R88" s="48" t="s">
        <v>270</v>
      </c>
      <c r="S88" s="48"/>
      <c r="T88" s="48" t="s">
        <v>270</v>
      </c>
      <c r="U88" s="48"/>
      <c r="V88" s="48"/>
      <c r="W88" s="48"/>
      <c r="X88" s="49" t="s">
        <v>377</v>
      </c>
      <c r="Y88" s="49"/>
    </row>
    <row r="89" spans="1:25" ht="48" customHeight="1" x14ac:dyDescent="0.2">
      <c r="A89" s="35">
        <v>2</v>
      </c>
      <c r="B89" s="36" t="s">
        <v>402</v>
      </c>
      <c r="C89" s="1" t="s">
        <v>403</v>
      </c>
      <c r="D89" s="1"/>
      <c r="E89" s="1"/>
      <c r="F89" s="1"/>
      <c r="G89" s="1" t="s">
        <v>304</v>
      </c>
      <c r="H89" s="1"/>
      <c r="I89" s="1"/>
      <c r="J89" s="1"/>
      <c r="K89" s="1" t="s">
        <v>80</v>
      </c>
      <c r="L89" s="1"/>
      <c r="M89" s="1"/>
      <c r="N89" s="1"/>
      <c r="O89" s="48" t="s">
        <v>269</v>
      </c>
      <c r="P89" s="48"/>
      <c r="Q89" s="48"/>
      <c r="R89" s="48" t="s">
        <v>270</v>
      </c>
      <c r="S89" s="48"/>
      <c r="T89" s="48"/>
      <c r="U89" s="48"/>
      <c r="V89" s="48"/>
      <c r="W89" s="48"/>
      <c r="X89" s="49" t="s">
        <v>380</v>
      </c>
      <c r="Y89" s="49"/>
    </row>
    <row r="90" spans="1:25" ht="90" customHeight="1" x14ac:dyDescent="0.2">
      <c r="A90" s="35">
        <v>3</v>
      </c>
      <c r="B90" s="36" t="s">
        <v>404</v>
      </c>
      <c r="C90" s="1" t="s">
        <v>405</v>
      </c>
      <c r="D90" s="1"/>
      <c r="E90" s="1"/>
      <c r="F90" s="1"/>
      <c r="G90" s="1" t="s">
        <v>406</v>
      </c>
      <c r="H90" s="1"/>
      <c r="I90" s="1"/>
      <c r="J90" s="1"/>
      <c r="K90" s="1" t="s">
        <v>119</v>
      </c>
      <c r="L90" s="1"/>
      <c r="M90" s="1"/>
      <c r="N90" s="1"/>
      <c r="O90" s="48" t="s">
        <v>269</v>
      </c>
      <c r="P90" s="48"/>
      <c r="Q90" s="48"/>
      <c r="R90" s="48"/>
      <c r="S90" s="48"/>
      <c r="T90" s="48"/>
      <c r="U90" s="48"/>
      <c r="V90" s="48"/>
      <c r="W90" s="48"/>
      <c r="X90" s="49" t="s">
        <v>407</v>
      </c>
      <c r="Y90" s="49"/>
    </row>
    <row r="91" spans="1:25" ht="69" customHeight="1" x14ac:dyDescent="0.2">
      <c r="A91" s="35">
        <v>4</v>
      </c>
      <c r="B91" s="36" t="s">
        <v>408</v>
      </c>
      <c r="C91" s="1" t="s">
        <v>409</v>
      </c>
      <c r="D91" s="1"/>
      <c r="E91" s="1"/>
      <c r="F91" s="1"/>
      <c r="G91" s="1" t="s">
        <v>338</v>
      </c>
      <c r="H91" s="1"/>
      <c r="I91" s="1"/>
      <c r="J91" s="1"/>
      <c r="K91" s="1" t="s">
        <v>339</v>
      </c>
      <c r="L91" s="1"/>
      <c r="M91" s="1"/>
      <c r="N91" s="1"/>
      <c r="O91" s="48" t="s">
        <v>269</v>
      </c>
      <c r="P91" s="48"/>
      <c r="Q91" s="48"/>
      <c r="R91" s="48"/>
      <c r="S91" s="48"/>
      <c r="T91" s="48"/>
      <c r="U91" s="48"/>
      <c r="V91" s="48"/>
      <c r="W91" s="48"/>
      <c r="X91" s="49"/>
      <c r="Y91" s="49"/>
    </row>
    <row r="92" spans="1:25" ht="48" customHeight="1" x14ac:dyDescent="0.2">
      <c r="A92" s="35">
        <v>5</v>
      </c>
      <c r="B92" s="36" t="s">
        <v>410</v>
      </c>
      <c r="C92" s="1" t="s">
        <v>411</v>
      </c>
      <c r="D92" s="1"/>
      <c r="E92" s="1"/>
      <c r="F92" s="1"/>
      <c r="G92" s="1" t="s">
        <v>281</v>
      </c>
      <c r="H92" s="1"/>
      <c r="I92" s="1"/>
      <c r="J92" s="1"/>
      <c r="K92" s="1" t="s">
        <v>282</v>
      </c>
      <c r="L92" s="1"/>
      <c r="M92" s="1"/>
      <c r="N92" s="1"/>
      <c r="O92" s="48" t="s">
        <v>283</v>
      </c>
      <c r="P92" s="48"/>
      <c r="Q92" s="48"/>
      <c r="R92" s="48"/>
      <c r="S92" s="48"/>
      <c r="T92" s="48"/>
      <c r="U92" s="48"/>
      <c r="V92" s="48"/>
      <c r="W92" s="48"/>
      <c r="X92" s="49"/>
      <c r="Y92" s="49"/>
    </row>
    <row r="93" spans="1:25" ht="30" customHeight="1" x14ac:dyDescent="0.2">
      <c r="A93" s="35">
        <v>6</v>
      </c>
      <c r="B93" s="36" t="s">
        <v>412</v>
      </c>
      <c r="C93" s="1" t="s">
        <v>413</v>
      </c>
      <c r="D93" s="1"/>
      <c r="E93" s="1"/>
      <c r="F93" s="1"/>
      <c r="G93" s="1" t="s">
        <v>87</v>
      </c>
      <c r="H93" s="1"/>
      <c r="I93" s="1"/>
      <c r="J93" s="1"/>
      <c r="K93" s="1" t="s">
        <v>89</v>
      </c>
      <c r="L93" s="1"/>
      <c r="M93" s="1"/>
      <c r="N93" s="1"/>
      <c r="O93" s="48" t="s">
        <v>269</v>
      </c>
      <c r="P93" s="48"/>
      <c r="Q93" s="48"/>
      <c r="R93" s="48"/>
      <c r="S93" s="48"/>
      <c r="T93" s="48"/>
      <c r="U93" s="48"/>
      <c r="V93" s="48"/>
      <c r="W93" s="48"/>
      <c r="X93" s="49" t="s">
        <v>332</v>
      </c>
      <c r="Y93" s="49"/>
    </row>
    <row r="94" spans="1:25" ht="24" customHeight="1" x14ac:dyDescent="0.2"/>
    <row r="95" spans="1:25" ht="54" customHeight="1" x14ac:dyDescent="0.2">
      <c r="A95" s="29">
        <f>'Invetario de Tablas'!A14</f>
        <v>11</v>
      </c>
      <c r="B95" s="30" t="s">
        <v>177</v>
      </c>
      <c r="C95" s="6" t="str">
        <f>'Invetario de Tablas'!B14</f>
        <v>tipo_grupo</v>
      </c>
      <c r="D95" s="6"/>
      <c r="E95" s="6"/>
      <c r="F95" s="6"/>
      <c r="G95" s="5" t="s">
        <v>178</v>
      </c>
      <c r="H95" s="5"/>
      <c r="I95" s="5"/>
      <c r="J95" s="5"/>
      <c r="K95" s="4" t="str">
        <f>'Invetario de Tablas'!C14</f>
        <v>Catálogo de tipos de grupo (estudio, hackaton, club de interés).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31" t="s">
        <v>255</v>
      </c>
      <c r="Y95" s="32" t="s">
        <v>256</v>
      </c>
    </row>
    <row r="96" spans="1:25" ht="45" customHeight="1" x14ac:dyDescent="0.2">
      <c r="A96" s="33" t="s">
        <v>1</v>
      </c>
      <c r="B96" s="34" t="s">
        <v>257</v>
      </c>
      <c r="C96" s="3" t="s">
        <v>258</v>
      </c>
      <c r="D96" s="3"/>
      <c r="E96" s="3"/>
      <c r="F96" s="3"/>
      <c r="G96" s="3" t="s">
        <v>259</v>
      </c>
      <c r="H96" s="3"/>
      <c r="I96" s="3"/>
      <c r="J96" s="3"/>
      <c r="K96" s="3" t="s">
        <v>260</v>
      </c>
      <c r="L96" s="3"/>
      <c r="M96" s="3"/>
      <c r="N96" s="3"/>
      <c r="O96" s="3" t="s">
        <v>261</v>
      </c>
      <c r="P96" s="3"/>
      <c r="Q96" s="3"/>
      <c r="R96" s="3" t="s">
        <v>262</v>
      </c>
      <c r="S96" s="3"/>
      <c r="T96" s="3" t="s">
        <v>263</v>
      </c>
      <c r="U96" s="3"/>
      <c r="V96" s="3" t="s">
        <v>264</v>
      </c>
      <c r="W96" s="3"/>
      <c r="X96" s="2" t="s">
        <v>265</v>
      </c>
      <c r="Y96" s="2"/>
    </row>
    <row r="97" spans="1:25" ht="48" customHeight="1" x14ac:dyDescent="0.2">
      <c r="A97" s="35">
        <v>1</v>
      </c>
      <c r="B97" s="36" t="s">
        <v>414</v>
      </c>
      <c r="C97" s="1" t="s">
        <v>415</v>
      </c>
      <c r="D97" s="1"/>
      <c r="E97" s="1"/>
      <c r="F97" s="1"/>
      <c r="G97" s="1" t="s">
        <v>268</v>
      </c>
      <c r="H97" s="1"/>
      <c r="I97" s="1"/>
      <c r="J97" s="1"/>
      <c r="K97" s="1" t="s">
        <v>80</v>
      </c>
      <c r="L97" s="1"/>
      <c r="M97" s="1"/>
      <c r="N97" s="1"/>
      <c r="O97" s="48" t="s">
        <v>269</v>
      </c>
      <c r="P97" s="48"/>
      <c r="Q97" s="48"/>
      <c r="R97" s="48" t="s">
        <v>270</v>
      </c>
      <c r="S97" s="48"/>
      <c r="T97" s="48"/>
      <c r="U97" s="48"/>
      <c r="V97" s="48"/>
      <c r="W97" s="48"/>
      <c r="X97" s="49" t="s">
        <v>637</v>
      </c>
      <c r="Y97" s="49"/>
    </row>
    <row r="98" spans="1:25" ht="30" customHeight="1" x14ac:dyDescent="0.2">
      <c r="A98" s="35">
        <v>2</v>
      </c>
      <c r="B98" s="36" t="s">
        <v>416</v>
      </c>
      <c r="C98" s="1" t="s">
        <v>417</v>
      </c>
      <c r="D98" s="1"/>
      <c r="E98" s="1"/>
      <c r="F98" s="1"/>
      <c r="G98" s="1" t="s">
        <v>357</v>
      </c>
      <c r="H98" s="1"/>
      <c r="I98" s="1"/>
      <c r="J98" s="1"/>
      <c r="K98" s="1" t="s">
        <v>358</v>
      </c>
      <c r="L98" s="1"/>
      <c r="M98" s="1"/>
      <c r="N98" s="1"/>
      <c r="O98" s="48" t="s">
        <v>269</v>
      </c>
      <c r="P98" s="48"/>
      <c r="Q98" s="48"/>
      <c r="R98" s="48"/>
      <c r="S98" s="48"/>
      <c r="T98" s="48"/>
      <c r="U98" s="48"/>
      <c r="V98" s="48" t="s">
        <v>270</v>
      </c>
      <c r="W98" s="48"/>
      <c r="X98" s="49"/>
      <c r="Y98" s="49"/>
    </row>
    <row r="99" spans="1:25" ht="69" customHeight="1" x14ac:dyDescent="0.2">
      <c r="A99" s="35">
        <v>3</v>
      </c>
      <c r="B99" s="36" t="s">
        <v>418</v>
      </c>
      <c r="C99" s="1" t="s">
        <v>419</v>
      </c>
      <c r="D99" s="1"/>
      <c r="E99" s="1"/>
      <c r="F99" s="1"/>
      <c r="G99" s="1" t="s">
        <v>281</v>
      </c>
      <c r="H99" s="1"/>
      <c r="I99" s="1"/>
      <c r="J99" s="1"/>
      <c r="K99" s="1" t="s">
        <v>282</v>
      </c>
      <c r="L99" s="1"/>
      <c r="M99" s="1"/>
      <c r="N99" s="1"/>
      <c r="O99" s="48" t="s">
        <v>283</v>
      </c>
      <c r="P99" s="48"/>
      <c r="Q99" s="48"/>
      <c r="R99" s="48"/>
      <c r="S99" s="48"/>
      <c r="T99" s="48"/>
      <c r="U99" s="48"/>
      <c r="V99" s="48"/>
      <c r="W99" s="48"/>
      <c r="X99" s="49"/>
      <c r="Y99" s="49"/>
    </row>
    <row r="100" spans="1:25" ht="48" customHeight="1" x14ac:dyDescent="0.2">
      <c r="A100" s="35">
        <v>4</v>
      </c>
      <c r="B100" s="36" t="s">
        <v>284</v>
      </c>
      <c r="C100" s="1" t="s">
        <v>361</v>
      </c>
      <c r="D100" s="1"/>
      <c r="E100" s="1"/>
      <c r="F100" s="1"/>
      <c r="G100" s="1" t="s">
        <v>47</v>
      </c>
      <c r="H100" s="1"/>
      <c r="I100" s="1"/>
      <c r="J100" s="1"/>
      <c r="K100" s="1" t="s">
        <v>49</v>
      </c>
      <c r="L100" s="1"/>
      <c r="M100" s="1"/>
      <c r="N100" s="1"/>
      <c r="O100" s="48" t="s">
        <v>269</v>
      </c>
      <c r="P100" s="48"/>
      <c r="Q100" s="48"/>
      <c r="R100" s="48"/>
      <c r="S100" s="48"/>
      <c r="T100" s="48"/>
      <c r="U100" s="48"/>
      <c r="V100" s="48"/>
      <c r="W100" s="48"/>
      <c r="X100" s="49" t="s">
        <v>286</v>
      </c>
      <c r="Y100" s="49"/>
    </row>
    <row r="101" spans="1:25" ht="24" customHeight="1" x14ac:dyDescent="0.2"/>
    <row r="102" spans="1:25" ht="54" customHeight="1" x14ac:dyDescent="0.2">
      <c r="A102" s="29">
        <f>'Invetario de Tablas'!A15</f>
        <v>12</v>
      </c>
      <c r="B102" s="30" t="s">
        <v>177</v>
      </c>
      <c r="C102" s="6" t="str">
        <f>'Invetario de Tablas'!B15</f>
        <v>grupo</v>
      </c>
      <c r="D102" s="6"/>
      <c r="E102" s="6"/>
      <c r="F102" s="6"/>
      <c r="G102" s="5" t="s">
        <v>178</v>
      </c>
      <c r="H102" s="5"/>
      <c r="I102" s="5"/>
      <c r="J102" s="5"/>
      <c r="K102" s="4" t="str">
        <f>'Invetario de Tablas'!C15</f>
        <v>Grupos o comunidades creadas dentro de la plataforma.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31" t="s">
        <v>255</v>
      </c>
      <c r="Y102" s="32" t="s">
        <v>256</v>
      </c>
    </row>
    <row r="103" spans="1:25" ht="45" customHeight="1" x14ac:dyDescent="0.2">
      <c r="A103" s="33" t="s">
        <v>1</v>
      </c>
      <c r="B103" s="34" t="s">
        <v>257</v>
      </c>
      <c r="C103" s="3" t="s">
        <v>258</v>
      </c>
      <c r="D103" s="3"/>
      <c r="E103" s="3"/>
      <c r="F103" s="3"/>
      <c r="G103" s="3" t="s">
        <v>259</v>
      </c>
      <c r="H103" s="3"/>
      <c r="I103" s="3"/>
      <c r="J103" s="3"/>
      <c r="K103" s="3" t="s">
        <v>260</v>
      </c>
      <c r="L103" s="3"/>
      <c r="M103" s="3"/>
      <c r="N103" s="3"/>
      <c r="O103" s="3" t="s">
        <v>261</v>
      </c>
      <c r="P103" s="3"/>
      <c r="Q103" s="3"/>
      <c r="R103" s="3" t="s">
        <v>262</v>
      </c>
      <c r="S103" s="3"/>
      <c r="T103" s="3" t="s">
        <v>263</v>
      </c>
      <c r="U103" s="3"/>
      <c r="V103" s="3" t="s">
        <v>264</v>
      </c>
      <c r="W103" s="3"/>
      <c r="X103" s="2" t="s">
        <v>265</v>
      </c>
      <c r="Y103" s="2"/>
    </row>
    <row r="104" spans="1:25" ht="30" customHeight="1" x14ac:dyDescent="0.2">
      <c r="A104" s="35">
        <v>1</v>
      </c>
      <c r="B104" s="36" t="s">
        <v>420</v>
      </c>
      <c r="C104" s="1" t="s">
        <v>421</v>
      </c>
      <c r="D104" s="1"/>
      <c r="E104" s="1"/>
      <c r="F104" s="1"/>
      <c r="G104" s="1" t="s">
        <v>299</v>
      </c>
      <c r="H104" s="1"/>
      <c r="I104" s="1"/>
      <c r="J104" s="1"/>
      <c r="K104" s="1" t="s">
        <v>89</v>
      </c>
      <c r="L104" s="1"/>
      <c r="M104" s="1"/>
      <c r="N104" s="1"/>
      <c r="O104" s="48" t="s">
        <v>269</v>
      </c>
      <c r="P104" s="48"/>
      <c r="Q104" s="48"/>
      <c r="R104" s="48" t="s">
        <v>270</v>
      </c>
      <c r="S104" s="48"/>
      <c r="T104" s="48"/>
      <c r="U104" s="48"/>
      <c r="V104" s="48"/>
      <c r="W104" s="48"/>
      <c r="X104" s="49" t="s">
        <v>637</v>
      </c>
      <c r="Y104" s="49"/>
    </row>
    <row r="105" spans="1:25" ht="48" customHeight="1" x14ac:dyDescent="0.2">
      <c r="A105" s="35">
        <v>2</v>
      </c>
      <c r="B105" s="36" t="s">
        <v>422</v>
      </c>
      <c r="C105" s="1" t="s">
        <v>423</v>
      </c>
      <c r="D105" s="1"/>
      <c r="E105" s="1"/>
      <c r="F105" s="1"/>
      <c r="G105" s="1" t="s">
        <v>334</v>
      </c>
      <c r="H105" s="1"/>
      <c r="I105" s="1"/>
      <c r="J105" s="1"/>
      <c r="K105" s="1" t="s">
        <v>89</v>
      </c>
      <c r="L105" s="1"/>
      <c r="M105" s="1"/>
      <c r="N105" s="1"/>
      <c r="O105" s="48" t="s">
        <v>269</v>
      </c>
      <c r="P105" s="48"/>
      <c r="Q105" s="48"/>
      <c r="R105" s="48"/>
      <c r="S105" s="48"/>
      <c r="T105" s="48" t="s">
        <v>270</v>
      </c>
      <c r="U105" s="48"/>
      <c r="V105" s="48"/>
      <c r="W105" s="48"/>
      <c r="X105" s="49" t="s">
        <v>335</v>
      </c>
      <c r="Y105" s="49"/>
    </row>
    <row r="106" spans="1:25" ht="48" customHeight="1" x14ac:dyDescent="0.2">
      <c r="A106" s="35">
        <v>3</v>
      </c>
      <c r="B106" s="36" t="s">
        <v>414</v>
      </c>
      <c r="C106" s="1" t="s">
        <v>424</v>
      </c>
      <c r="D106" s="1"/>
      <c r="E106" s="1"/>
      <c r="F106" s="1"/>
      <c r="G106" s="1" t="s">
        <v>304</v>
      </c>
      <c r="H106" s="1"/>
      <c r="I106" s="1"/>
      <c r="J106" s="1"/>
      <c r="K106" s="1" t="s">
        <v>80</v>
      </c>
      <c r="L106" s="1"/>
      <c r="M106" s="1"/>
      <c r="N106" s="1"/>
      <c r="O106" s="48" t="s">
        <v>269</v>
      </c>
      <c r="P106" s="48"/>
      <c r="Q106" s="48"/>
      <c r="R106" s="48"/>
      <c r="S106" s="48"/>
      <c r="T106" s="48" t="s">
        <v>270</v>
      </c>
      <c r="U106" s="48"/>
      <c r="V106" s="48"/>
      <c r="W106" s="48"/>
      <c r="X106" s="49" t="s">
        <v>425</v>
      </c>
      <c r="Y106" s="49"/>
    </row>
    <row r="107" spans="1:25" ht="48" customHeight="1" x14ac:dyDescent="0.2">
      <c r="A107" s="35">
        <v>4</v>
      </c>
      <c r="B107" s="36" t="s">
        <v>426</v>
      </c>
      <c r="C107" s="1" t="s">
        <v>427</v>
      </c>
      <c r="D107" s="1"/>
      <c r="E107" s="1"/>
      <c r="F107" s="1"/>
      <c r="G107" s="1" t="s">
        <v>344</v>
      </c>
      <c r="H107" s="1"/>
      <c r="I107" s="1"/>
      <c r="J107" s="1"/>
      <c r="K107" s="1" t="s">
        <v>345</v>
      </c>
      <c r="L107" s="1"/>
      <c r="M107" s="1"/>
      <c r="N107" s="1"/>
      <c r="O107" s="48" t="s">
        <v>269</v>
      </c>
      <c r="P107" s="48"/>
      <c r="Q107" s="48"/>
      <c r="R107" s="48"/>
      <c r="S107" s="48"/>
      <c r="T107" s="48"/>
      <c r="U107" s="48"/>
      <c r="V107" s="48" t="s">
        <v>270</v>
      </c>
      <c r="W107" s="48"/>
      <c r="X107" s="49"/>
      <c r="Y107" s="49"/>
    </row>
    <row r="108" spans="1:25" ht="69" customHeight="1" x14ac:dyDescent="0.2">
      <c r="A108" s="35">
        <v>5</v>
      </c>
      <c r="B108" s="36" t="s">
        <v>428</v>
      </c>
      <c r="C108" s="1" t="s">
        <v>429</v>
      </c>
      <c r="D108" s="1"/>
      <c r="E108" s="1"/>
      <c r="F108" s="1"/>
      <c r="G108" s="1" t="s">
        <v>57</v>
      </c>
      <c r="H108" s="1"/>
      <c r="I108" s="1"/>
      <c r="J108" s="1"/>
      <c r="K108" s="1" t="s">
        <v>59</v>
      </c>
      <c r="L108" s="1"/>
      <c r="M108" s="1"/>
      <c r="N108" s="1"/>
      <c r="O108" s="48" t="s">
        <v>283</v>
      </c>
      <c r="P108" s="48"/>
      <c r="Q108" s="48"/>
      <c r="R108" s="48"/>
      <c r="S108" s="48"/>
      <c r="T108" s="48"/>
      <c r="U108" s="48"/>
      <c r="V108" s="48"/>
      <c r="W108" s="48"/>
      <c r="X108" s="49"/>
      <c r="Y108" s="49"/>
    </row>
    <row r="109" spans="1:25" ht="48" customHeight="1" x14ac:dyDescent="0.2">
      <c r="A109" s="35">
        <v>6</v>
      </c>
      <c r="B109" s="36" t="s">
        <v>430</v>
      </c>
      <c r="C109" s="1" t="s">
        <v>431</v>
      </c>
      <c r="D109" s="1"/>
      <c r="E109" s="1"/>
      <c r="F109" s="1"/>
      <c r="G109" s="1" t="s">
        <v>324</v>
      </c>
      <c r="H109" s="1"/>
      <c r="I109" s="1"/>
      <c r="J109" s="1"/>
      <c r="K109" s="1" t="s">
        <v>325</v>
      </c>
      <c r="L109" s="1"/>
      <c r="M109" s="1"/>
      <c r="N109" s="1"/>
      <c r="O109" s="48" t="s">
        <v>283</v>
      </c>
      <c r="P109" s="48"/>
      <c r="Q109" s="48"/>
      <c r="R109" s="48"/>
      <c r="S109" s="48"/>
      <c r="T109" s="48"/>
      <c r="U109" s="48"/>
      <c r="V109" s="48"/>
      <c r="W109" s="48"/>
      <c r="X109" s="49"/>
      <c r="Y109" s="49"/>
    </row>
    <row r="110" spans="1:25" ht="30" customHeight="1" x14ac:dyDescent="0.2">
      <c r="A110" s="35">
        <v>7</v>
      </c>
      <c r="B110" s="36" t="s">
        <v>432</v>
      </c>
      <c r="C110" s="1" t="s">
        <v>433</v>
      </c>
      <c r="D110" s="1"/>
      <c r="E110" s="1"/>
      <c r="F110" s="1"/>
      <c r="G110" s="1" t="s">
        <v>87</v>
      </c>
      <c r="H110" s="1"/>
      <c r="I110" s="1"/>
      <c r="J110" s="1"/>
      <c r="K110" s="1" t="s">
        <v>89</v>
      </c>
      <c r="L110" s="1"/>
      <c r="M110" s="1"/>
      <c r="N110" s="1"/>
      <c r="O110" s="48" t="s">
        <v>269</v>
      </c>
      <c r="P110" s="48"/>
      <c r="Q110" s="48"/>
      <c r="R110" s="48"/>
      <c r="S110" s="48"/>
      <c r="T110" s="48"/>
      <c r="U110" s="48"/>
      <c r="V110" s="48"/>
      <c r="W110" s="48"/>
      <c r="X110" s="49" t="s">
        <v>332</v>
      </c>
      <c r="Y110" s="49"/>
    </row>
    <row r="111" spans="1:25" ht="48" customHeight="1" x14ac:dyDescent="0.2">
      <c r="A111" s="35">
        <v>8</v>
      </c>
      <c r="B111" s="36" t="s">
        <v>284</v>
      </c>
      <c r="C111" s="1" t="s">
        <v>434</v>
      </c>
      <c r="D111" s="1"/>
      <c r="E111" s="1"/>
      <c r="F111" s="1"/>
      <c r="G111" s="1" t="s">
        <v>47</v>
      </c>
      <c r="H111" s="1"/>
      <c r="I111" s="1"/>
      <c r="J111" s="1"/>
      <c r="K111" s="1" t="s">
        <v>49</v>
      </c>
      <c r="L111" s="1"/>
      <c r="M111" s="1"/>
      <c r="N111" s="1"/>
      <c r="O111" s="48" t="s">
        <v>269</v>
      </c>
      <c r="P111" s="48"/>
      <c r="Q111" s="48"/>
      <c r="R111" s="48"/>
      <c r="S111" s="48"/>
      <c r="T111" s="48"/>
      <c r="U111" s="48"/>
      <c r="V111" s="48"/>
      <c r="W111" s="48"/>
      <c r="X111" s="49" t="s">
        <v>286</v>
      </c>
      <c r="Y111" s="49"/>
    </row>
    <row r="112" spans="1:25" ht="24" customHeight="1" x14ac:dyDescent="0.2"/>
    <row r="113" spans="1:25" ht="54" customHeight="1" x14ac:dyDescent="0.2">
      <c r="A113" s="29">
        <f>'Invetario de Tablas'!A16</f>
        <v>13</v>
      </c>
      <c r="B113" s="30" t="s">
        <v>177</v>
      </c>
      <c r="C113" s="6" t="str">
        <f>'Invetario de Tablas'!B16</f>
        <v>usuario_grupo</v>
      </c>
      <c r="D113" s="6"/>
      <c r="E113" s="6"/>
      <c r="F113" s="6"/>
      <c r="G113" s="5" t="s">
        <v>178</v>
      </c>
      <c r="H113" s="5"/>
      <c r="I113" s="5"/>
      <c r="J113" s="5"/>
      <c r="K113" s="4" t="str">
        <f>'Invetario de Tablas'!C16</f>
        <v>Membresía y vinculación de usuarios a los diferentes grupos.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31" t="s">
        <v>255</v>
      </c>
      <c r="Y113" s="32" t="s">
        <v>256</v>
      </c>
    </row>
    <row r="114" spans="1:25" ht="45" customHeight="1" x14ac:dyDescent="0.2">
      <c r="A114" s="33" t="s">
        <v>1</v>
      </c>
      <c r="B114" s="34" t="s">
        <v>257</v>
      </c>
      <c r="C114" s="3" t="s">
        <v>258</v>
      </c>
      <c r="D114" s="3"/>
      <c r="E114" s="3"/>
      <c r="F114" s="3"/>
      <c r="G114" s="3" t="s">
        <v>259</v>
      </c>
      <c r="H114" s="3"/>
      <c r="I114" s="3"/>
      <c r="J114" s="3"/>
      <c r="K114" s="3" t="s">
        <v>260</v>
      </c>
      <c r="L114" s="3"/>
      <c r="M114" s="3"/>
      <c r="N114" s="3"/>
      <c r="O114" s="3" t="s">
        <v>261</v>
      </c>
      <c r="P114" s="3"/>
      <c r="Q114" s="3"/>
      <c r="R114" s="3" t="s">
        <v>262</v>
      </c>
      <c r="S114" s="3"/>
      <c r="T114" s="3" t="s">
        <v>263</v>
      </c>
      <c r="U114" s="3"/>
      <c r="V114" s="3" t="s">
        <v>264</v>
      </c>
      <c r="W114" s="3"/>
      <c r="X114" s="2" t="s">
        <v>265</v>
      </c>
      <c r="Y114" s="2"/>
    </row>
    <row r="115" spans="1:25" ht="30" customHeight="1" x14ac:dyDescent="0.2">
      <c r="A115" s="35">
        <v>1</v>
      </c>
      <c r="B115" s="36" t="s">
        <v>297</v>
      </c>
      <c r="C115" s="1" t="s">
        <v>435</v>
      </c>
      <c r="D115" s="1"/>
      <c r="E115" s="1"/>
      <c r="F115" s="1"/>
      <c r="G115" s="1" t="s">
        <v>334</v>
      </c>
      <c r="H115" s="1"/>
      <c r="I115" s="1"/>
      <c r="J115" s="1"/>
      <c r="K115" s="1" t="s">
        <v>89</v>
      </c>
      <c r="L115" s="1"/>
      <c r="M115" s="1"/>
      <c r="N115" s="1"/>
      <c r="O115" s="48" t="s">
        <v>269</v>
      </c>
      <c r="P115" s="48"/>
      <c r="Q115" s="48"/>
      <c r="R115" s="48" t="s">
        <v>270</v>
      </c>
      <c r="S115" s="48"/>
      <c r="T115" s="48" t="s">
        <v>270</v>
      </c>
      <c r="U115" s="48"/>
      <c r="V115" s="48"/>
      <c r="W115" s="48"/>
      <c r="X115" s="49" t="s">
        <v>335</v>
      </c>
      <c r="Y115" s="49"/>
    </row>
    <row r="116" spans="1:25" ht="41.25" customHeight="1" x14ac:dyDescent="0.2">
      <c r="A116" s="35">
        <v>2</v>
      </c>
      <c r="B116" s="36" t="s">
        <v>420</v>
      </c>
      <c r="C116" s="1" t="s">
        <v>436</v>
      </c>
      <c r="D116" s="1"/>
      <c r="E116" s="1"/>
      <c r="F116" s="1"/>
      <c r="G116" s="1" t="s">
        <v>334</v>
      </c>
      <c r="H116" s="1"/>
      <c r="I116" s="1"/>
      <c r="J116" s="1"/>
      <c r="K116" s="1" t="s">
        <v>89</v>
      </c>
      <c r="L116" s="1"/>
      <c r="M116" s="1"/>
      <c r="N116" s="1"/>
      <c r="O116" s="48" t="s">
        <v>269</v>
      </c>
      <c r="P116" s="48"/>
      <c r="Q116" s="48"/>
      <c r="R116" s="48" t="s">
        <v>270</v>
      </c>
      <c r="S116" s="48"/>
      <c r="T116" s="48" t="s">
        <v>270</v>
      </c>
      <c r="U116" s="48"/>
      <c r="V116" s="48"/>
      <c r="W116" s="48"/>
      <c r="X116" s="49" t="s">
        <v>437</v>
      </c>
      <c r="Y116" s="49"/>
    </row>
    <row r="117" spans="1:25" ht="87.75" customHeight="1" x14ac:dyDescent="0.2">
      <c r="A117" s="35">
        <v>3</v>
      </c>
      <c r="B117" s="36" t="s">
        <v>438</v>
      </c>
      <c r="C117" s="1" t="s">
        <v>439</v>
      </c>
      <c r="D117" s="1"/>
      <c r="E117" s="1"/>
      <c r="F117" s="1"/>
      <c r="G117" s="1" t="s">
        <v>440</v>
      </c>
      <c r="H117" s="1"/>
      <c r="I117" s="1"/>
      <c r="J117" s="1"/>
      <c r="K117" s="1" t="s">
        <v>119</v>
      </c>
      <c r="L117" s="1"/>
      <c r="M117" s="1"/>
      <c r="N117" s="1"/>
      <c r="O117" s="48" t="s">
        <v>269</v>
      </c>
      <c r="P117" s="48"/>
      <c r="Q117" s="48"/>
      <c r="R117" s="48"/>
      <c r="S117" s="48"/>
      <c r="T117" s="48"/>
      <c r="U117" s="48"/>
      <c r="V117" s="48"/>
      <c r="W117" s="48"/>
      <c r="X117" s="49" t="s">
        <v>441</v>
      </c>
      <c r="Y117" s="49"/>
    </row>
    <row r="118" spans="1:25" ht="48" customHeight="1" x14ac:dyDescent="0.2">
      <c r="A118" s="35">
        <v>4</v>
      </c>
      <c r="B118" s="36" t="s">
        <v>442</v>
      </c>
      <c r="C118" s="1" t="s">
        <v>443</v>
      </c>
      <c r="D118" s="1"/>
      <c r="E118" s="1"/>
      <c r="F118" s="1"/>
      <c r="G118" s="1" t="s">
        <v>87</v>
      </c>
      <c r="H118" s="1"/>
      <c r="I118" s="1"/>
      <c r="J118" s="1"/>
      <c r="K118" s="1" t="s">
        <v>89</v>
      </c>
      <c r="L118" s="1"/>
      <c r="M118" s="1"/>
      <c r="N118" s="1"/>
      <c r="O118" s="48" t="s">
        <v>269</v>
      </c>
      <c r="P118" s="48"/>
      <c r="Q118" s="48"/>
      <c r="R118" s="48"/>
      <c r="S118" s="48"/>
      <c r="T118" s="48"/>
      <c r="U118" s="48"/>
      <c r="V118" s="48"/>
      <c r="W118" s="48"/>
      <c r="X118" s="49" t="s">
        <v>332</v>
      </c>
      <c r="Y118" s="49"/>
    </row>
    <row r="119" spans="1:25" ht="48" customHeight="1" x14ac:dyDescent="0.2">
      <c r="A119" s="35">
        <v>5</v>
      </c>
      <c r="B119" s="36" t="s">
        <v>284</v>
      </c>
      <c r="C119" s="1" t="s">
        <v>444</v>
      </c>
      <c r="D119" s="1"/>
      <c r="E119" s="1"/>
      <c r="F119" s="1"/>
      <c r="G119" s="1" t="s">
        <v>47</v>
      </c>
      <c r="H119" s="1"/>
      <c r="I119" s="1"/>
      <c r="J119" s="1"/>
      <c r="K119" s="1" t="s">
        <v>49</v>
      </c>
      <c r="L119" s="1"/>
      <c r="M119" s="1"/>
      <c r="N119" s="1"/>
      <c r="O119" s="48" t="s">
        <v>269</v>
      </c>
      <c r="P119" s="48"/>
      <c r="Q119" s="48"/>
      <c r="R119" s="48"/>
      <c r="S119" s="48"/>
      <c r="T119" s="48"/>
      <c r="U119" s="48"/>
      <c r="V119" s="48"/>
      <c r="W119" s="48"/>
      <c r="X119" s="49" t="s">
        <v>286</v>
      </c>
      <c r="Y119" s="49"/>
    </row>
    <row r="120" spans="1:25" ht="24" customHeight="1" x14ac:dyDescent="0.2"/>
    <row r="121" spans="1:25" ht="54" customHeight="1" x14ac:dyDescent="0.2">
      <c r="A121" s="29">
        <f>'Invetario de Tablas'!A17</f>
        <v>14</v>
      </c>
      <c r="B121" s="30" t="s">
        <v>177</v>
      </c>
      <c r="C121" s="6" t="str">
        <f>'Invetario de Tablas'!B17</f>
        <v>tipo_servicio</v>
      </c>
      <c r="D121" s="6"/>
      <c r="E121" s="6"/>
      <c r="F121" s="6"/>
      <c r="G121" s="5" t="s">
        <v>178</v>
      </c>
      <c r="H121" s="5"/>
      <c r="I121" s="5"/>
      <c r="J121" s="5"/>
      <c r="K121" s="4" t="str">
        <f>'Invetario de Tablas'!C17</f>
        <v>Catálogo de tipos de servicio (tutoría, cambalache, mantenimiento).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31" t="s">
        <v>255</v>
      </c>
      <c r="Y121" s="32" t="s">
        <v>256</v>
      </c>
    </row>
    <row r="122" spans="1:25" ht="45" customHeight="1" x14ac:dyDescent="0.2">
      <c r="A122" s="33" t="s">
        <v>1</v>
      </c>
      <c r="B122" s="34" t="s">
        <v>257</v>
      </c>
      <c r="C122" s="3" t="s">
        <v>258</v>
      </c>
      <c r="D122" s="3"/>
      <c r="E122" s="3"/>
      <c r="F122" s="3"/>
      <c r="G122" s="3" t="s">
        <v>259</v>
      </c>
      <c r="H122" s="3"/>
      <c r="I122" s="3"/>
      <c r="J122" s="3"/>
      <c r="K122" s="3" t="s">
        <v>260</v>
      </c>
      <c r="L122" s="3"/>
      <c r="M122" s="3"/>
      <c r="N122" s="3"/>
      <c r="O122" s="3" t="s">
        <v>261</v>
      </c>
      <c r="P122" s="3"/>
      <c r="Q122" s="3"/>
      <c r="R122" s="3" t="s">
        <v>262</v>
      </c>
      <c r="S122" s="3"/>
      <c r="T122" s="3" t="s">
        <v>263</v>
      </c>
      <c r="U122" s="3"/>
      <c r="V122" s="3" t="s">
        <v>264</v>
      </c>
      <c r="W122" s="3"/>
      <c r="X122" s="2" t="s">
        <v>265</v>
      </c>
      <c r="Y122" s="2"/>
    </row>
    <row r="123" spans="1:25" ht="48" customHeight="1" x14ac:dyDescent="0.2">
      <c r="A123" s="35">
        <v>1</v>
      </c>
      <c r="B123" s="36" t="s">
        <v>445</v>
      </c>
      <c r="C123" s="1" t="s">
        <v>446</v>
      </c>
      <c r="D123" s="1"/>
      <c r="E123" s="1"/>
      <c r="F123" s="1"/>
      <c r="G123" s="1" t="s">
        <v>268</v>
      </c>
      <c r="H123" s="1"/>
      <c r="I123" s="1"/>
      <c r="J123" s="1"/>
      <c r="K123" s="1" t="s">
        <v>80</v>
      </c>
      <c r="L123" s="1"/>
      <c r="M123" s="1"/>
      <c r="N123" s="1"/>
      <c r="O123" s="48" t="s">
        <v>269</v>
      </c>
      <c r="P123" s="48"/>
      <c r="Q123" s="48"/>
      <c r="R123" s="48" t="s">
        <v>270</v>
      </c>
      <c r="S123" s="48"/>
      <c r="T123" s="48"/>
      <c r="U123" s="48"/>
      <c r="V123" s="48"/>
      <c r="W123" s="48"/>
      <c r="X123" s="49" t="s">
        <v>637</v>
      </c>
      <c r="Y123" s="49"/>
    </row>
    <row r="124" spans="1:25" ht="48" customHeight="1" x14ac:dyDescent="0.2">
      <c r="A124" s="35">
        <v>2</v>
      </c>
      <c r="B124" s="36" t="s">
        <v>447</v>
      </c>
      <c r="C124" s="1" t="s">
        <v>448</v>
      </c>
      <c r="D124" s="1"/>
      <c r="E124" s="1"/>
      <c r="F124" s="1"/>
      <c r="G124" s="1" t="s">
        <v>357</v>
      </c>
      <c r="H124" s="1"/>
      <c r="I124" s="1"/>
      <c r="J124" s="1"/>
      <c r="K124" s="1" t="s">
        <v>358</v>
      </c>
      <c r="L124" s="1"/>
      <c r="M124" s="1"/>
      <c r="N124" s="1"/>
      <c r="O124" s="48" t="s">
        <v>269</v>
      </c>
      <c r="P124" s="48"/>
      <c r="Q124" s="48"/>
      <c r="R124" s="48"/>
      <c r="S124" s="48"/>
      <c r="T124" s="48"/>
      <c r="U124" s="48"/>
      <c r="V124" s="48" t="s">
        <v>270</v>
      </c>
      <c r="W124" s="48"/>
      <c r="X124" s="49"/>
      <c r="Y124" s="49"/>
    </row>
    <row r="125" spans="1:25" ht="69" customHeight="1" x14ac:dyDescent="0.2">
      <c r="A125" s="35">
        <v>3</v>
      </c>
      <c r="B125" s="36" t="s">
        <v>449</v>
      </c>
      <c r="C125" s="1" t="s">
        <v>450</v>
      </c>
      <c r="D125" s="1"/>
      <c r="E125" s="1"/>
      <c r="F125" s="1"/>
      <c r="G125" s="1" t="s">
        <v>281</v>
      </c>
      <c r="H125" s="1"/>
      <c r="I125" s="1"/>
      <c r="J125" s="1"/>
      <c r="K125" s="1" t="s">
        <v>282</v>
      </c>
      <c r="L125" s="1"/>
      <c r="M125" s="1"/>
      <c r="N125" s="1"/>
      <c r="O125" s="48" t="s">
        <v>283</v>
      </c>
      <c r="P125" s="48"/>
      <c r="Q125" s="48"/>
      <c r="R125" s="48"/>
      <c r="S125" s="48"/>
      <c r="T125" s="48"/>
      <c r="U125" s="48"/>
      <c r="V125" s="48"/>
      <c r="W125" s="48"/>
      <c r="X125" s="49"/>
      <c r="Y125" s="49"/>
    </row>
    <row r="126" spans="1:25" ht="48" customHeight="1" x14ac:dyDescent="0.2">
      <c r="A126" s="35">
        <v>4</v>
      </c>
      <c r="B126" s="36" t="s">
        <v>284</v>
      </c>
      <c r="C126" s="1" t="s">
        <v>361</v>
      </c>
      <c r="D126" s="1"/>
      <c r="E126" s="1"/>
      <c r="F126" s="1"/>
      <c r="G126" s="1" t="s">
        <v>47</v>
      </c>
      <c r="H126" s="1"/>
      <c r="I126" s="1"/>
      <c r="J126" s="1"/>
      <c r="K126" s="1" t="s">
        <v>49</v>
      </c>
      <c r="L126" s="1"/>
      <c r="M126" s="1"/>
      <c r="N126" s="1"/>
      <c r="O126" s="48" t="s">
        <v>269</v>
      </c>
      <c r="P126" s="48"/>
      <c r="Q126" s="48"/>
      <c r="R126" s="48"/>
      <c r="S126" s="48"/>
      <c r="T126" s="48"/>
      <c r="U126" s="48"/>
      <c r="V126" s="48"/>
      <c r="W126" s="48"/>
      <c r="X126" s="49" t="s">
        <v>286</v>
      </c>
      <c r="Y126" s="49"/>
    </row>
    <row r="127" spans="1:25" ht="24" customHeight="1" x14ac:dyDescent="0.2"/>
    <row r="128" spans="1:25" ht="54" customHeight="1" x14ac:dyDescent="0.2">
      <c r="A128" s="29">
        <f>'Invetario de Tablas'!A18</f>
        <v>15</v>
      </c>
      <c r="B128" s="30" t="s">
        <v>177</v>
      </c>
      <c r="C128" s="6" t="str">
        <f>'Invetario de Tablas'!B18</f>
        <v>servicio</v>
      </c>
      <c r="D128" s="6"/>
      <c r="E128" s="6"/>
      <c r="F128" s="6"/>
      <c r="G128" s="5" t="s">
        <v>178</v>
      </c>
      <c r="H128" s="5"/>
      <c r="I128" s="5"/>
      <c r="J128" s="5"/>
      <c r="K128" s="4" t="str">
        <f>'Invetario de Tablas'!C18</f>
        <v>Oferta de servicios universitarios por parte de un usuario.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31" t="s">
        <v>255</v>
      </c>
      <c r="Y128" s="32" t="s">
        <v>256</v>
      </c>
    </row>
    <row r="129" spans="1:25" ht="45" customHeight="1" x14ac:dyDescent="0.2">
      <c r="A129" s="33" t="s">
        <v>1</v>
      </c>
      <c r="B129" s="34" t="s">
        <v>257</v>
      </c>
      <c r="C129" s="3" t="s">
        <v>258</v>
      </c>
      <c r="D129" s="3"/>
      <c r="E129" s="3"/>
      <c r="F129" s="3"/>
      <c r="G129" s="3" t="s">
        <v>259</v>
      </c>
      <c r="H129" s="3"/>
      <c r="I129" s="3"/>
      <c r="J129" s="3"/>
      <c r="K129" s="3" t="s">
        <v>260</v>
      </c>
      <c r="L129" s="3"/>
      <c r="M129" s="3"/>
      <c r="N129" s="3"/>
      <c r="O129" s="3" t="s">
        <v>261</v>
      </c>
      <c r="P129" s="3"/>
      <c r="Q129" s="3"/>
      <c r="R129" s="3" t="s">
        <v>262</v>
      </c>
      <c r="S129" s="3"/>
      <c r="T129" s="3" t="s">
        <v>263</v>
      </c>
      <c r="U129" s="3"/>
      <c r="V129" s="3" t="s">
        <v>264</v>
      </c>
      <c r="W129" s="3"/>
      <c r="X129" s="2" t="s">
        <v>265</v>
      </c>
      <c r="Y129" s="2"/>
    </row>
    <row r="130" spans="1:25" ht="48" customHeight="1" x14ac:dyDescent="0.2">
      <c r="A130" s="35">
        <v>1</v>
      </c>
      <c r="B130" s="36" t="s">
        <v>451</v>
      </c>
      <c r="C130" s="1" t="s">
        <v>452</v>
      </c>
      <c r="D130" s="1"/>
      <c r="E130" s="1"/>
      <c r="F130" s="1"/>
      <c r="G130" s="1" t="s">
        <v>299</v>
      </c>
      <c r="H130" s="1"/>
      <c r="I130" s="1"/>
      <c r="J130" s="1"/>
      <c r="K130" s="1" t="s">
        <v>89</v>
      </c>
      <c r="L130" s="1"/>
      <c r="M130" s="1"/>
      <c r="N130" s="1"/>
      <c r="O130" s="48" t="s">
        <v>269</v>
      </c>
      <c r="P130" s="48"/>
      <c r="Q130" s="48"/>
      <c r="R130" s="48" t="s">
        <v>270</v>
      </c>
      <c r="S130" s="48"/>
      <c r="T130" s="48"/>
      <c r="U130" s="48"/>
      <c r="V130" s="48"/>
      <c r="W130" s="48"/>
      <c r="X130" s="49" t="s">
        <v>637</v>
      </c>
      <c r="Y130" s="49"/>
    </row>
    <row r="131" spans="1:25" ht="48" customHeight="1" x14ac:dyDescent="0.2">
      <c r="A131" s="35">
        <v>2</v>
      </c>
      <c r="B131" s="36" t="s">
        <v>297</v>
      </c>
      <c r="C131" s="1" t="s">
        <v>453</v>
      </c>
      <c r="D131" s="1"/>
      <c r="E131" s="1"/>
      <c r="F131" s="1"/>
      <c r="G131" s="1" t="s">
        <v>334</v>
      </c>
      <c r="H131" s="1"/>
      <c r="I131" s="1"/>
      <c r="J131" s="1"/>
      <c r="K131" s="1" t="s">
        <v>89</v>
      </c>
      <c r="L131" s="1"/>
      <c r="M131" s="1"/>
      <c r="N131" s="1"/>
      <c r="O131" s="48" t="s">
        <v>269</v>
      </c>
      <c r="P131" s="48"/>
      <c r="Q131" s="48"/>
      <c r="R131" s="48"/>
      <c r="S131" s="48"/>
      <c r="T131" s="48" t="s">
        <v>270</v>
      </c>
      <c r="U131" s="48"/>
      <c r="V131" s="48"/>
      <c r="W131" s="48"/>
      <c r="X131" s="49" t="s">
        <v>335</v>
      </c>
      <c r="Y131" s="49"/>
    </row>
    <row r="132" spans="1:25" ht="48" customHeight="1" x14ac:dyDescent="0.2">
      <c r="A132" s="35">
        <v>3</v>
      </c>
      <c r="B132" s="36" t="s">
        <v>445</v>
      </c>
      <c r="C132" s="1" t="s">
        <v>454</v>
      </c>
      <c r="D132" s="1"/>
      <c r="E132" s="1"/>
      <c r="F132" s="1"/>
      <c r="G132" s="1" t="s">
        <v>304</v>
      </c>
      <c r="H132" s="1"/>
      <c r="I132" s="1"/>
      <c r="J132" s="1"/>
      <c r="K132" s="1" t="s">
        <v>80</v>
      </c>
      <c r="L132" s="1"/>
      <c r="M132" s="1"/>
      <c r="N132" s="1"/>
      <c r="O132" s="48" t="s">
        <v>269</v>
      </c>
      <c r="P132" s="48"/>
      <c r="Q132" s="48"/>
      <c r="R132" s="48"/>
      <c r="S132" s="48"/>
      <c r="T132" s="48" t="s">
        <v>270</v>
      </c>
      <c r="U132" s="48"/>
      <c r="V132" s="48"/>
      <c r="W132" s="48"/>
      <c r="X132" s="49" t="s">
        <v>455</v>
      </c>
      <c r="Y132" s="49"/>
    </row>
    <row r="133" spans="1:25" ht="30" customHeight="1" x14ac:dyDescent="0.2">
      <c r="A133" s="35">
        <v>4</v>
      </c>
      <c r="B133" s="36" t="s">
        <v>456</v>
      </c>
      <c r="C133" s="1" t="s">
        <v>457</v>
      </c>
      <c r="D133" s="1"/>
      <c r="E133" s="1"/>
      <c r="F133" s="1"/>
      <c r="G133" s="1" t="s">
        <v>344</v>
      </c>
      <c r="H133" s="1"/>
      <c r="I133" s="1"/>
      <c r="J133" s="1"/>
      <c r="K133" s="1" t="s">
        <v>345</v>
      </c>
      <c r="L133" s="1"/>
      <c r="M133" s="1"/>
      <c r="N133" s="1"/>
      <c r="O133" s="48" t="s">
        <v>269</v>
      </c>
      <c r="P133" s="48"/>
      <c r="Q133" s="48"/>
      <c r="R133" s="48"/>
      <c r="S133" s="48"/>
      <c r="T133" s="48"/>
      <c r="U133" s="48"/>
      <c r="V133" s="48"/>
      <c r="W133" s="48"/>
      <c r="X133" s="49"/>
      <c r="Y133" s="49"/>
    </row>
    <row r="134" spans="1:25" ht="69" customHeight="1" x14ac:dyDescent="0.2">
      <c r="A134" s="35">
        <v>5</v>
      </c>
      <c r="B134" s="36" t="s">
        <v>458</v>
      </c>
      <c r="C134" s="1" t="s">
        <v>459</v>
      </c>
      <c r="D134" s="1"/>
      <c r="E134" s="1"/>
      <c r="F134" s="1"/>
      <c r="G134" s="1" t="s">
        <v>57</v>
      </c>
      <c r="H134" s="1"/>
      <c r="I134" s="1"/>
      <c r="J134" s="1"/>
      <c r="K134" s="1" t="s">
        <v>59</v>
      </c>
      <c r="L134" s="1"/>
      <c r="M134" s="1"/>
      <c r="N134" s="1"/>
      <c r="O134" s="48" t="s">
        <v>283</v>
      </c>
      <c r="P134" s="48"/>
      <c r="Q134" s="48"/>
      <c r="R134" s="48"/>
      <c r="S134" s="48"/>
      <c r="T134" s="48"/>
      <c r="U134" s="48"/>
      <c r="V134" s="48"/>
      <c r="W134" s="48"/>
      <c r="X134" s="49"/>
      <c r="Y134" s="49"/>
    </row>
    <row r="135" spans="1:25" ht="30" customHeight="1" x14ac:dyDescent="0.2">
      <c r="A135" s="35">
        <v>6</v>
      </c>
      <c r="B135" s="36" t="s">
        <v>460</v>
      </c>
      <c r="C135" s="1" t="s">
        <v>461</v>
      </c>
      <c r="D135" s="1"/>
      <c r="E135" s="1"/>
      <c r="F135" s="1"/>
      <c r="G135" s="1" t="s">
        <v>462</v>
      </c>
      <c r="H135" s="1"/>
      <c r="I135" s="1"/>
      <c r="J135" s="1"/>
      <c r="K135" s="1" t="s">
        <v>110</v>
      </c>
      <c r="L135" s="1"/>
      <c r="M135" s="1"/>
      <c r="N135" s="1"/>
      <c r="O135" s="48" t="s">
        <v>269</v>
      </c>
      <c r="P135" s="48"/>
      <c r="Q135" s="48"/>
      <c r="R135" s="48"/>
      <c r="S135" s="48"/>
      <c r="T135" s="48"/>
      <c r="U135" s="48"/>
      <c r="V135" s="48"/>
      <c r="W135" s="48"/>
      <c r="X135" s="49" t="s">
        <v>463</v>
      </c>
      <c r="Y135" s="49"/>
    </row>
    <row r="136" spans="1:25" ht="48" customHeight="1" x14ac:dyDescent="0.2">
      <c r="A136" s="35">
        <v>7</v>
      </c>
      <c r="B136" s="36" t="s">
        <v>464</v>
      </c>
      <c r="C136" s="1" t="s">
        <v>465</v>
      </c>
      <c r="D136" s="1"/>
      <c r="E136" s="1"/>
      <c r="F136" s="1"/>
      <c r="G136" s="1" t="s">
        <v>47</v>
      </c>
      <c r="H136" s="1"/>
      <c r="I136" s="1"/>
      <c r="J136" s="1"/>
      <c r="K136" s="1" t="s">
        <v>49</v>
      </c>
      <c r="L136" s="1"/>
      <c r="M136" s="1"/>
      <c r="N136" s="1"/>
      <c r="O136" s="48" t="s">
        <v>269</v>
      </c>
      <c r="P136" s="48"/>
      <c r="Q136" s="48"/>
      <c r="R136" s="48"/>
      <c r="S136" s="48"/>
      <c r="T136" s="48"/>
      <c r="U136" s="48"/>
      <c r="V136" s="48"/>
      <c r="W136" s="48"/>
      <c r="X136" s="49" t="s">
        <v>286</v>
      </c>
      <c r="Y136" s="49"/>
    </row>
    <row r="137" spans="1:25" ht="48" customHeight="1" x14ac:dyDescent="0.2">
      <c r="A137" s="35">
        <v>8</v>
      </c>
      <c r="B137" s="36" t="s">
        <v>373</v>
      </c>
      <c r="C137" s="1" t="s">
        <v>374</v>
      </c>
      <c r="D137" s="1"/>
      <c r="E137" s="1"/>
      <c r="F137" s="1"/>
      <c r="G137" s="1" t="s">
        <v>87</v>
      </c>
      <c r="H137" s="1"/>
      <c r="I137" s="1"/>
      <c r="J137" s="1"/>
      <c r="K137" s="1" t="s">
        <v>89</v>
      </c>
      <c r="L137" s="1"/>
      <c r="M137" s="1"/>
      <c r="N137" s="1"/>
      <c r="O137" s="48" t="s">
        <v>269</v>
      </c>
      <c r="P137" s="48"/>
      <c r="Q137" s="48"/>
      <c r="R137" s="48"/>
      <c r="S137" s="48"/>
      <c r="T137" s="48"/>
      <c r="U137" s="48"/>
      <c r="V137" s="48"/>
      <c r="W137" s="48"/>
      <c r="X137" s="49" t="s">
        <v>332</v>
      </c>
      <c r="Y137" s="49"/>
    </row>
    <row r="138" spans="1:25" ht="24" customHeight="1" x14ac:dyDescent="0.2"/>
    <row r="139" spans="1:25" ht="54" customHeight="1" x14ac:dyDescent="0.2">
      <c r="A139" s="29">
        <f>'Invetario de Tablas'!A19</f>
        <v>16</v>
      </c>
      <c r="B139" s="30" t="s">
        <v>177</v>
      </c>
      <c r="C139" s="6" t="str">
        <f>'Invetario de Tablas'!B19</f>
        <v>tipo_producto</v>
      </c>
      <c r="D139" s="6"/>
      <c r="E139" s="6"/>
      <c r="F139" s="6"/>
      <c r="G139" s="5" t="s">
        <v>178</v>
      </c>
      <c r="H139" s="5"/>
      <c r="I139" s="5"/>
      <c r="J139" s="5"/>
      <c r="K139" s="4" t="str">
        <f>'Invetario de Tablas'!C19</f>
        <v>Catálogo de tipos de producto (papelería, libros, ropa, tecnología).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31" t="s">
        <v>255</v>
      </c>
      <c r="Y139" s="32" t="s">
        <v>256</v>
      </c>
    </row>
    <row r="140" spans="1:25" ht="45" customHeight="1" x14ac:dyDescent="0.2">
      <c r="A140" s="33" t="s">
        <v>1</v>
      </c>
      <c r="B140" s="34" t="s">
        <v>257</v>
      </c>
      <c r="C140" s="3" t="s">
        <v>258</v>
      </c>
      <c r="D140" s="3"/>
      <c r="E140" s="3"/>
      <c r="F140" s="3"/>
      <c r="G140" s="3" t="s">
        <v>259</v>
      </c>
      <c r="H140" s="3"/>
      <c r="I140" s="3"/>
      <c r="J140" s="3"/>
      <c r="K140" s="3" t="s">
        <v>260</v>
      </c>
      <c r="L140" s="3"/>
      <c r="M140" s="3"/>
      <c r="N140" s="3"/>
      <c r="O140" s="3" t="s">
        <v>261</v>
      </c>
      <c r="P140" s="3"/>
      <c r="Q140" s="3"/>
      <c r="R140" s="3" t="s">
        <v>262</v>
      </c>
      <c r="S140" s="3"/>
      <c r="T140" s="3" t="s">
        <v>263</v>
      </c>
      <c r="U140" s="3"/>
      <c r="V140" s="3" t="s">
        <v>264</v>
      </c>
      <c r="W140" s="3"/>
      <c r="X140" s="2" t="s">
        <v>265</v>
      </c>
      <c r="Y140" s="2"/>
    </row>
    <row r="141" spans="1:25" ht="48" customHeight="1" x14ac:dyDescent="0.2">
      <c r="A141" s="35">
        <v>1</v>
      </c>
      <c r="B141" s="36" t="s">
        <v>466</v>
      </c>
      <c r="C141" s="1" t="s">
        <v>467</v>
      </c>
      <c r="D141" s="1"/>
      <c r="E141" s="1"/>
      <c r="F141" s="1"/>
      <c r="G141" s="1" t="s">
        <v>268</v>
      </c>
      <c r="H141" s="1"/>
      <c r="I141" s="1"/>
      <c r="J141" s="1"/>
      <c r="K141" s="1" t="s">
        <v>80</v>
      </c>
      <c r="L141" s="1"/>
      <c r="M141" s="1"/>
      <c r="N141" s="1"/>
      <c r="O141" s="48" t="s">
        <v>269</v>
      </c>
      <c r="P141" s="48"/>
      <c r="Q141" s="48"/>
      <c r="R141" s="48" t="s">
        <v>270</v>
      </c>
      <c r="S141" s="48"/>
      <c r="T141" s="48"/>
      <c r="U141" s="48"/>
      <c r="V141" s="48"/>
      <c r="W141" s="48"/>
      <c r="X141" s="49" t="s">
        <v>637</v>
      </c>
      <c r="Y141" s="49"/>
    </row>
    <row r="142" spans="1:25" ht="48" customHeight="1" x14ac:dyDescent="0.2">
      <c r="A142" s="35">
        <v>2</v>
      </c>
      <c r="B142" s="36" t="s">
        <v>468</v>
      </c>
      <c r="C142" s="1" t="s">
        <v>469</v>
      </c>
      <c r="D142" s="1"/>
      <c r="E142" s="1"/>
      <c r="F142" s="1"/>
      <c r="G142" s="1" t="s">
        <v>357</v>
      </c>
      <c r="H142" s="1"/>
      <c r="I142" s="1"/>
      <c r="J142" s="1"/>
      <c r="K142" s="1" t="s">
        <v>358</v>
      </c>
      <c r="L142" s="1"/>
      <c r="M142" s="1"/>
      <c r="N142" s="1"/>
      <c r="O142" s="48" t="s">
        <v>269</v>
      </c>
      <c r="P142" s="48"/>
      <c r="Q142" s="48"/>
      <c r="R142" s="48"/>
      <c r="S142" s="48"/>
      <c r="T142" s="48"/>
      <c r="U142" s="48"/>
      <c r="V142" s="48" t="s">
        <v>270</v>
      </c>
      <c r="W142" s="48"/>
      <c r="X142" s="49"/>
      <c r="Y142" s="49"/>
    </row>
    <row r="143" spans="1:25" ht="69" customHeight="1" x14ac:dyDescent="0.2">
      <c r="A143" s="35">
        <v>3</v>
      </c>
      <c r="B143" s="36" t="s">
        <v>470</v>
      </c>
      <c r="C143" s="1" t="s">
        <v>471</v>
      </c>
      <c r="D143" s="1"/>
      <c r="E143" s="1"/>
      <c r="F143" s="1"/>
      <c r="G143" s="1" t="s">
        <v>281</v>
      </c>
      <c r="H143" s="1"/>
      <c r="I143" s="1"/>
      <c r="J143" s="1"/>
      <c r="K143" s="1" t="s">
        <v>282</v>
      </c>
      <c r="L143" s="1"/>
      <c r="M143" s="1"/>
      <c r="N143" s="1"/>
      <c r="O143" s="48" t="s">
        <v>283</v>
      </c>
      <c r="P143" s="48"/>
      <c r="Q143" s="48"/>
      <c r="R143" s="48"/>
      <c r="S143" s="48"/>
      <c r="T143" s="48"/>
      <c r="U143" s="48"/>
      <c r="V143" s="48"/>
      <c r="W143" s="48"/>
      <c r="X143" s="49"/>
      <c r="Y143" s="49"/>
    </row>
    <row r="144" spans="1:25" ht="48" customHeight="1" x14ac:dyDescent="0.2">
      <c r="A144" s="35">
        <v>4</v>
      </c>
      <c r="B144" s="36" t="s">
        <v>284</v>
      </c>
      <c r="C144" s="1" t="s">
        <v>361</v>
      </c>
      <c r="D144" s="1"/>
      <c r="E144" s="1"/>
      <c r="F144" s="1"/>
      <c r="G144" s="1" t="s">
        <v>47</v>
      </c>
      <c r="H144" s="1"/>
      <c r="I144" s="1"/>
      <c r="J144" s="1"/>
      <c r="K144" s="1" t="s">
        <v>49</v>
      </c>
      <c r="L144" s="1"/>
      <c r="M144" s="1"/>
      <c r="N144" s="1"/>
      <c r="O144" s="48" t="s">
        <v>269</v>
      </c>
      <c r="P144" s="48"/>
      <c r="Q144" s="48"/>
      <c r="R144" s="48"/>
      <c r="S144" s="48"/>
      <c r="T144" s="48"/>
      <c r="U144" s="48"/>
      <c r="V144" s="48"/>
      <c r="W144" s="48"/>
      <c r="X144" s="49" t="s">
        <v>286</v>
      </c>
      <c r="Y144" s="49"/>
    </row>
    <row r="145" spans="1:25" ht="24" customHeight="1" x14ac:dyDescent="0.2"/>
    <row r="146" spans="1:25" ht="54" customHeight="1" x14ac:dyDescent="0.2">
      <c r="A146" s="29">
        <f>'Invetario de Tablas'!A20</f>
        <v>17</v>
      </c>
      <c r="B146" s="30" t="s">
        <v>177</v>
      </c>
      <c r="C146" s="6" t="str">
        <f>'Invetario de Tablas'!B20</f>
        <v>producto</v>
      </c>
      <c r="D146" s="6"/>
      <c r="E146" s="6"/>
      <c r="F146" s="6"/>
      <c r="G146" s="5" t="s">
        <v>178</v>
      </c>
      <c r="H146" s="5"/>
      <c r="I146" s="5"/>
      <c r="J146" s="5"/>
      <c r="K146" s="4" t="str">
        <f>'Invetario de Tablas'!C20</f>
        <v>Productos o artículos publicados para la venta en el marketplace.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31" t="s">
        <v>255</v>
      </c>
      <c r="Y146" s="32" t="s">
        <v>256</v>
      </c>
    </row>
    <row r="147" spans="1:25" ht="45" customHeight="1" x14ac:dyDescent="0.2">
      <c r="A147" s="33" t="s">
        <v>1</v>
      </c>
      <c r="B147" s="34" t="s">
        <v>257</v>
      </c>
      <c r="C147" s="3" t="s">
        <v>258</v>
      </c>
      <c r="D147" s="3"/>
      <c r="E147" s="3"/>
      <c r="F147" s="3"/>
      <c r="G147" s="3" t="s">
        <v>259</v>
      </c>
      <c r="H147" s="3"/>
      <c r="I147" s="3"/>
      <c r="J147" s="3"/>
      <c r="K147" s="3" t="s">
        <v>260</v>
      </c>
      <c r="L147" s="3"/>
      <c r="M147" s="3"/>
      <c r="N147" s="3"/>
      <c r="O147" s="3" t="s">
        <v>261</v>
      </c>
      <c r="P147" s="3"/>
      <c r="Q147" s="3"/>
      <c r="R147" s="3" t="s">
        <v>262</v>
      </c>
      <c r="S147" s="3"/>
      <c r="T147" s="3" t="s">
        <v>263</v>
      </c>
      <c r="U147" s="3"/>
      <c r="V147" s="3" t="s">
        <v>264</v>
      </c>
      <c r="W147" s="3"/>
      <c r="X147" s="2" t="s">
        <v>265</v>
      </c>
      <c r="Y147" s="2"/>
    </row>
    <row r="148" spans="1:25" ht="48" customHeight="1" x14ac:dyDescent="0.2">
      <c r="A148" s="35">
        <v>1</v>
      </c>
      <c r="B148" s="36" t="s">
        <v>472</v>
      </c>
      <c r="C148" s="1" t="s">
        <v>473</v>
      </c>
      <c r="D148" s="1"/>
      <c r="E148" s="1"/>
      <c r="F148" s="1"/>
      <c r="G148" s="1" t="s">
        <v>299</v>
      </c>
      <c r="H148" s="1"/>
      <c r="I148" s="1"/>
      <c r="J148" s="1"/>
      <c r="K148" s="1" t="s">
        <v>89</v>
      </c>
      <c r="L148" s="1"/>
      <c r="M148" s="1"/>
      <c r="N148" s="1"/>
      <c r="O148" s="48" t="s">
        <v>269</v>
      </c>
      <c r="P148" s="48"/>
      <c r="Q148" s="48"/>
      <c r="R148" s="48" t="s">
        <v>270</v>
      </c>
      <c r="S148" s="48"/>
      <c r="T148" s="48"/>
      <c r="U148" s="48"/>
      <c r="V148" s="48"/>
      <c r="W148" s="48"/>
      <c r="X148" s="49" t="s">
        <v>637</v>
      </c>
      <c r="Y148" s="49"/>
    </row>
    <row r="149" spans="1:25" ht="48" customHeight="1" x14ac:dyDescent="0.2">
      <c r="A149" s="35">
        <v>2</v>
      </c>
      <c r="B149" s="36" t="s">
        <v>297</v>
      </c>
      <c r="C149" s="1" t="s">
        <v>474</v>
      </c>
      <c r="D149" s="1"/>
      <c r="E149" s="1"/>
      <c r="F149" s="1"/>
      <c r="G149" s="1" t="s">
        <v>334</v>
      </c>
      <c r="H149" s="1"/>
      <c r="I149" s="1"/>
      <c r="J149" s="1"/>
      <c r="K149" s="1" t="s">
        <v>89</v>
      </c>
      <c r="L149" s="1"/>
      <c r="M149" s="1"/>
      <c r="N149" s="1"/>
      <c r="O149" s="48" t="s">
        <v>269</v>
      </c>
      <c r="P149" s="48"/>
      <c r="Q149" s="48"/>
      <c r="R149" s="48"/>
      <c r="S149" s="48"/>
      <c r="T149" s="48" t="s">
        <v>270</v>
      </c>
      <c r="U149" s="48"/>
      <c r="V149" s="48"/>
      <c r="W149" s="48"/>
      <c r="X149" s="49" t="s">
        <v>335</v>
      </c>
      <c r="Y149" s="49"/>
    </row>
    <row r="150" spans="1:25" ht="48" customHeight="1" x14ac:dyDescent="0.2">
      <c r="A150" s="35">
        <v>3</v>
      </c>
      <c r="B150" s="36" t="s">
        <v>466</v>
      </c>
      <c r="C150" s="1" t="s">
        <v>475</v>
      </c>
      <c r="D150" s="1"/>
      <c r="E150" s="1"/>
      <c r="F150" s="1"/>
      <c r="G150" s="1" t="s">
        <v>304</v>
      </c>
      <c r="H150" s="1"/>
      <c r="I150" s="1"/>
      <c r="J150" s="1"/>
      <c r="K150" s="1" t="s">
        <v>80</v>
      </c>
      <c r="L150" s="1"/>
      <c r="M150" s="1"/>
      <c r="N150" s="1"/>
      <c r="O150" s="48" t="s">
        <v>269</v>
      </c>
      <c r="P150" s="48"/>
      <c r="Q150" s="48"/>
      <c r="R150" s="48"/>
      <c r="S150" s="48"/>
      <c r="T150" s="48" t="s">
        <v>270</v>
      </c>
      <c r="U150" s="48"/>
      <c r="V150" s="48"/>
      <c r="W150" s="48"/>
      <c r="X150" s="49" t="s">
        <v>476</v>
      </c>
      <c r="Y150" s="49"/>
    </row>
    <row r="151" spans="1:25" ht="30" customHeight="1" x14ac:dyDescent="0.2">
      <c r="A151" s="35">
        <v>4</v>
      </c>
      <c r="B151" s="36" t="s">
        <v>477</v>
      </c>
      <c r="C151" s="1" t="s">
        <v>478</v>
      </c>
      <c r="D151" s="1"/>
      <c r="E151" s="1"/>
      <c r="F151" s="1"/>
      <c r="G151" s="1" t="s">
        <v>344</v>
      </c>
      <c r="H151" s="1"/>
      <c r="I151" s="1"/>
      <c r="J151" s="1"/>
      <c r="K151" s="1" t="s">
        <v>345</v>
      </c>
      <c r="L151" s="1"/>
      <c r="M151" s="1"/>
      <c r="N151" s="1"/>
      <c r="O151" s="48" t="s">
        <v>269</v>
      </c>
      <c r="P151" s="48"/>
      <c r="Q151" s="48"/>
      <c r="R151" s="48"/>
      <c r="S151" s="48"/>
      <c r="T151" s="48"/>
      <c r="U151" s="48"/>
      <c r="V151" s="48"/>
      <c r="W151" s="48"/>
      <c r="X151" s="49"/>
      <c r="Y151" s="49"/>
    </row>
    <row r="152" spans="1:25" ht="69" customHeight="1" x14ac:dyDescent="0.2">
      <c r="A152" s="35">
        <v>5</v>
      </c>
      <c r="B152" s="36" t="s">
        <v>479</v>
      </c>
      <c r="C152" s="1" t="s">
        <v>480</v>
      </c>
      <c r="D152" s="1"/>
      <c r="E152" s="1"/>
      <c r="F152" s="1"/>
      <c r="G152" s="1" t="s">
        <v>57</v>
      </c>
      <c r="H152" s="1"/>
      <c r="I152" s="1"/>
      <c r="J152" s="1"/>
      <c r="K152" s="1" t="s">
        <v>59</v>
      </c>
      <c r="L152" s="1"/>
      <c r="M152" s="1"/>
      <c r="N152" s="1"/>
      <c r="O152" s="48" t="s">
        <v>283</v>
      </c>
      <c r="P152" s="48"/>
      <c r="Q152" s="48"/>
      <c r="R152" s="48"/>
      <c r="S152" s="48"/>
      <c r="T152" s="48"/>
      <c r="U152" s="48"/>
      <c r="V152" s="48"/>
      <c r="W152" s="48"/>
      <c r="X152" s="49"/>
      <c r="Y152" s="49"/>
    </row>
    <row r="153" spans="1:25" ht="30" customHeight="1" x14ac:dyDescent="0.2">
      <c r="A153" s="35">
        <v>6</v>
      </c>
      <c r="B153" s="36" t="s">
        <v>481</v>
      </c>
      <c r="C153" s="1" t="s">
        <v>482</v>
      </c>
      <c r="D153" s="1"/>
      <c r="E153" s="1"/>
      <c r="F153" s="1"/>
      <c r="G153" s="1" t="s">
        <v>462</v>
      </c>
      <c r="H153" s="1"/>
      <c r="I153" s="1"/>
      <c r="J153" s="1"/>
      <c r="K153" s="1" t="s">
        <v>110</v>
      </c>
      <c r="L153" s="1"/>
      <c r="M153" s="1"/>
      <c r="N153" s="1"/>
      <c r="O153" s="48" t="s">
        <v>269</v>
      </c>
      <c r="P153" s="48"/>
      <c r="Q153" s="48"/>
      <c r="R153" s="48"/>
      <c r="S153" s="48"/>
      <c r="T153" s="48"/>
      <c r="U153" s="48"/>
      <c r="V153" s="48"/>
      <c r="W153" s="48"/>
      <c r="X153" s="49" t="s">
        <v>463</v>
      </c>
      <c r="Y153" s="49"/>
    </row>
    <row r="154" spans="1:25" ht="30" customHeight="1" x14ac:dyDescent="0.2">
      <c r="A154" s="35">
        <v>7</v>
      </c>
      <c r="B154" s="36" t="s">
        <v>483</v>
      </c>
      <c r="C154" s="1" t="s">
        <v>484</v>
      </c>
      <c r="D154" s="1"/>
      <c r="E154" s="1"/>
      <c r="F154" s="1"/>
      <c r="G154" s="1" t="s">
        <v>304</v>
      </c>
      <c r="H154" s="1"/>
      <c r="I154" s="1"/>
      <c r="J154" s="1"/>
      <c r="K154" s="1" t="s">
        <v>80</v>
      </c>
      <c r="L154" s="1"/>
      <c r="M154" s="1"/>
      <c r="N154" s="1"/>
      <c r="O154" s="48" t="s">
        <v>269</v>
      </c>
      <c r="P154" s="48"/>
      <c r="Q154" s="48"/>
      <c r="R154" s="48"/>
      <c r="S154" s="48"/>
      <c r="T154" s="48"/>
      <c r="U154" s="48"/>
      <c r="V154" s="48"/>
      <c r="W154" s="48"/>
      <c r="X154" s="49" t="s">
        <v>463</v>
      </c>
      <c r="Y154" s="49"/>
    </row>
    <row r="155" spans="1:25" ht="48" customHeight="1" x14ac:dyDescent="0.2">
      <c r="A155" s="35">
        <v>8</v>
      </c>
      <c r="B155" s="36" t="s">
        <v>485</v>
      </c>
      <c r="C155" s="1" t="s">
        <v>486</v>
      </c>
      <c r="D155" s="1"/>
      <c r="E155" s="1"/>
      <c r="F155" s="1"/>
      <c r="G155" s="1" t="s">
        <v>324</v>
      </c>
      <c r="H155" s="1"/>
      <c r="I155" s="1"/>
      <c r="J155" s="1"/>
      <c r="K155" s="1" t="s">
        <v>325</v>
      </c>
      <c r="L155" s="1"/>
      <c r="M155" s="1"/>
      <c r="N155" s="1"/>
      <c r="O155" s="48" t="s">
        <v>283</v>
      </c>
      <c r="P155" s="48"/>
      <c r="Q155" s="48"/>
      <c r="R155" s="48"/>
      <c r="S155" s="48"/>
      <c r="T155" s="48"/>
      <c r="U155" s="48"/>
      <c r="V155" s="48"/>
      <c r="W155" s="48"/>
      <c r="X155" s="49"/>
      <c r="Y155" s="49"/>
    </row>
    <row r="156" spans="1:25" ht="48" customHeight="1" x14ac:dyDescent="0.2">
      <c r="A156" s="35">
        <v>9</v>
      </c>
      <c r="B156" s="36" t="s">
        <v>464</v>
      </c>
      <c r="C156" s="1" t="s">
        <v>487</v>
      </c>
      <c r="D156" s="1"/>
      <c r="E156" s="1"/>
      <c r="F156" s="1"/>
      <c r="G156" s="1" t="s">
        <v>47</v>
      </c>
      <c r="H156" s="1"/>
      <c r="I156" s="1"/>
      <c r="J156" s="1"/>
      <c r="K156" s="1" t="s">
        <v>49</v>
      </c>
      <c r="L156" s="1"/>
      <c r="M156" s="1"/>
      <c r="N156" s="1"/>
      <c r="O156" s="48" t="s">
        <v>269</v>
      </c>
      <c r="P156" s="48"/>
      <c r="Q156" s="48"/>
      <c r="R156" s="48"/>
      <c r="S156" s="48"/>
      <c r="T156" s="48"/>
      <c r="U156" s="48"/>
      <c r="V156" s="48"/>
      <c r="W156" s="48"/>
      <c r="X156" s="49" t="s">
        <v>286</v>
      </c>
      <c r="Y156" s="49"/>
    </row>
    <row r="157" spans="1:25" ht="48" customHeight="1" x14ac:dyDescent="0.2">
      <c r="A157" s="35">
        <v>10</v>
      </c>
      <c r="B157" s="36" t="s">
        <v>373</v>
      </c>
      <c r="C157" s="1" t="s">
        <v>374</v>
      </c>
      <c r="D157" s="1"/>
      <c r="E157" s="1"/>
      <c r="F157" s="1"/>
      <c r="G157" s="1" t="s">
        <v>87</v>
      </c>
      <c r="H157" s="1"/>
      <c r="I157" s="1"/>
      <c r="J157" s="1"/>
      <c r="K157" s="1" t="s">
        <v>89</v>
      </c>
      <c r="L157" s="1"/>
      <c r="M157" s="1"/>
      <c r="N157" s="1"/>
      <c r="O157" s="48" t="s">
        <v>269</v>
      </c>
      <c r="P157" s="48"/>
      <c r="Q157" s="48"/>
      <c r="R157" s="48"/>
      <c r="S157" s="48"/>
      <c r="T157" s="48"/>
      <c r="U157" s="48"/>
      <c r="V157" s="48"/>
      <c r="W157" s="48"/>
      <c r="X157" s="49" t="s">
        <v>332</v>
      </c>
      <c r="Y157" s="49"/>
    </row>
    <row r="158" spans="1:25" ht="24" customHeight="1" x14ac:dyDescent="0.2"/>
    <row r="159" spans="1:25" ht="54" customHeight="1" x14ac:dyDescent="0.2">
      <c r="A159" s="29">
        <f>'Invetario de Tablas'!A21</f>
        <v>18</v>
      </c>
      <c r="B159" s="30" t="s">
        <v>177</v>
      </c>
      <c r="C159" s="6" t="str">
        <f>'Invetario de Tablas'!B21</f>
        <v>medio_pago</v>
      </c>
      <c r="D159" s="6"/>
      <c r="E159" s="6"/>
      <c r="F159" s="6"/>
      <c r="G159" s="5" t="s">
        <v>178</v>
      </c>
      <c r="H159" s="5"/>
      <c r="I159" s="5"/>
      <c r="J159" s="5"/>
      <c r="K159" s="4" t="str">
        <f>'Invetario de Tablas'!C21</f>
        <v>Catálogo de formas de pago (efectivo, transferencia, puntos pascualinos).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31" t="s">
        <v>255</v>
      </c>
      <c r="Y159" s="32" t="s">
        <v>256</v>
      </c>
    </row>
    <row r="160" spans="1:25" ht="45" customHeight="1" x14ac:dyDescent="0.2">
      <c r="A160" s="33" t="s">
        <v>1</v>
      </c>
      <c r="B160" s="34" t="s">
        <v>257</v>
      </c>
      <c r="C160" s="3" t="s">
        <v>258</v>
      </c>
      <c r="D160" s="3"/>
      <c r="E160" s="3"/>
      <c r="F160" s="3"/>
      <c r="G160" s="3" t="s">
        <v>259</v>
      </c>
      <c r="H160" s="3"/>
      <c r="I160" s="3"/>
      <c r="J160" s="3"/>
      <c r="K160" s="3" t="s">
        <v>260</v>
      </c>
      <c r="L160" s="3"/>
      <c r="M160" s="3"/>
      <c r="N160" s="3"/>
      <c r="O160" s="3" t="s">
        <v>261</v>
      </c>
      <c r="P160" s="3"/>
      <c r="Q160" s="3"/>
      <c r="R160" s="3" t="s">
        <v>262</v>
      </c>
      <c r="S160" s="3"/>
      <c r="T160" s="3" t="s">
        <v>263</v>
      </c>
      <c r="U160" s="3"/>
      <c r="V160" s="3" t="s">
        <v>264</v>
      </c>
      <c r="W160" s="3"/>
      <c r="X160" s="2" t="s">
        <v>265</v>
      </c>
      <c r="Y160" s="2"/>
    </row>
    <row r="161" spans="1:25" ht="48" customHeight="1" x14ac:dyDescent="0.2">
      <c r="A161" s="35">
        <v>1</v>
      </c>
      <c r="B161" s="36" t="s">
        <v>488</v>
      </c>
      <c r="C161" s="1" t="s">
        <v>489</v>
      </c>
      <c r="D161" s="1"/>
      <c r="E161" s="1"/>
      <c r="F161" s="1"/>
      <c r="G161" s="1" t="s">
        <v>268</v>
      </c>
      <c r="H161" s="1"/>
      <c r="I161" s="1"/>
      <c r="J161" s="1"/>
      <c r="K161" s="1" t="s">
        <v>80</v>
      </c>
      <c r="L161" s="1"/>
      <c r="M161" s="1"/>
      <c r="N161" s="1"/>
      <c r="O161" s="48" t="s">
        <v>269</v>
      </c>
      <c r="P161" s="48"/>
      <c r="Q161" s="48"/>
      <c r="R161" s="48" t="s">
        <v>270</v>
      </c>
      <c r="S161" s="48"/>
      <c r="T161" s="48"/>
      <c r="U161" s="48"/>
      <c r="V161" s="48"/>
      <c r="W161" s="48"/>
      <c r="X161" s="49" t="s">
        <v>637</v>
      </c>
      <c r="Y161" s="49"/>
    </row>
    <row r="162" spans="1:25" ht="69" customHeight="1" x14ac:dyDescent="0.2">
      <c r="A162" s="35">
        <v>2</v>
      </c>
      <c r="B162" s="36" t="s">
        <v>490</v>
      </c>
      <c r="C162" s="1" t="s">
        <v>491</v>
      </c>
      <c r="D162" s="1"/>
      <c r="E162" s="1"/>
      <c r="F162" s="1"/>
      <c r="G162" s="1" t="s">
        <v>357</v>
      </c>
      <c r="H162" s="1"/>
      <c r="I162" s="1"/>
      <c r="J162" s="1"/>
      <c r="K162" s="1" t="s">
        <v>358</v>
      </c>
      <c r="L162" s="1"/>
      <c r="M162" s="1"/>
      <c r="N162" s="1"/>
      <c r="O162" s="48" t="s">
        <v>269</v>
      </c>
      <c r="P162" s="48"/>
      <c r="Q162" s="48"/>
      <c r="R162" s="48"/>
      <c r="S162" s="48"/>
      <c r="T162" s="48"/>
      <c r="U162" s="48"/>
      <c r="V162" s="48" t="s">
        <v>270</v>
      </c>
      <c r="W162" s="48"/>
      <c r="X162" s="49"/>
      <c r="Y162" s="49"/>
    </row>
    <row r="163" spans="1:25" ht="48" customHeight="1" x14ac:dyDescent="0.2">
      <c r="A163" s="35">
        <v>3</v>
      </c>
      <c r="B163" s="36" t="s">
        <v>492</v>
      </c>
      <c r="C163" s="1" t="s">
        <v>493</v>
      </c>
      <c r="D163" s="1"/>
      <c r="E163" s="1"/>
      <c r="F163" s="1"/>
      <c r="G163" s="1" t="s">
        <v>278</v>
      </c>
      <c r="H163" s="1"/>
      <c r="I163" s="1"/>
      <c r="J163" s="1"/>
      <c r="K163" s="1" t="s">
        <v>82</v>
      </c>
      <c r="L163" s="1"/>
      <c r="M163" s="1"/>
      <c r="N163" s="1"/>
      <c r="O163" s="48" t="s">
        <v>269</v>
      </c>
      <c r="P163" s="48"/>
      <c r="Q163" s="48"/>
      <c r="R163" s="48"/>
      <c r="S163" s="48"/>
      <c r="T163" s="48"/>
      <c r="U163" s="48"/>
      <c r="V163" s="48" t="s">
        <v>270</v>
      </c>
      <c r="W163" s="48"/>
      <c r="X163" s="49"/>
      <c r="Y163" s="49"/>
    </row>
    <row r="164" spans="1:25" ht="48" customHeight="1" x14ac:dyDescent="0.2">
      <c r="A164" s="35">
        <v>4</v>
      </c>
      <c r="B164" s="36" t="s">
        <v>494</v>
      </c>
      <c r="C164" s="1" t="s">
        <v>495</v>
      </c>
      <c r="D164" s="1"/>
      <c r="E164" s="1"/>
      <c r="F164" s="1"/>
      <c r="G164" s="1" t="s">
        <v>281</v>
      </c>
      <c r="H164" s="1"/>
      <c r="I164" s="1"/>
      <c r="J164" s="1"/>
      <c r="K164" s="1" t="s">
        <v>282</v>
      </c>
      <c r="L164" s="1"/>
      <c r="M164" s="1"/>
      <c r="N164" s="1"/>
      <c r="O164" s="48" t="s">
        <v>283</v>
      </c>
      <c r="P164" s="48"/>
      <c r="Q164" s="48"/>
      <c r="R164" s="48"/>
      <c r="S164" s="48"/>
      <c r="T164" s="48"/>
      <c r="U164" s="48"/>
      <c r="V164" s="48"/>
      <c r="W164" s="48"/>
      <c r="X164" s="49"/>
      <c r="Y164" s="49"/>
    </row>
    <row r="165" spans="1:25" ht="48" customHeight="1" x14ac:dyDescent="0.2">
      <c r="A165" s="35">
        <v>5</v>
      </c>
      <c r="B165" s="36" t="s">
        <v>284</v>
      </c>
      <c r="C165" s="1" t="s">
        <v>496</v>
      </c>
      <c r="D165" s="1"/>
      <c r="E165" s="1"/>
      <c r="F165" s="1"/>
      <c r="G165" s="1" t="s">
        <v>47</v>
      </c>
      <c r="H165" s="1"/>
      <c r="I165" s="1"/>
      <c r="J165" s="1"/>
      <c r="K165" s="1" t="s">
        <v>49</v>
      </c>
      <c r="L165" s="1"/>
      <c r="M165" s="1"/>
      <c r="N165" s="1"/>
      <c r="O165" s="48" t="s">
        <v>269</v>
      </c>
      <c r="P165" s="48"/>
      <c r="Q165" s="48"/>
      <c r="R165" s="48"/>
      <c r="S165" s="48"/>
      <c r="T165" s="48"/>
      <c r="U165" s="48"/>
      <c r="V165" s="48"/>
      <c r="W165" s="48"/>
      <c r="X165" s="49" t="s">
        <v>286</v>
      </c>
      <c r="Y165" s="49"/>
    </row>
    <row r="166" spans="1:25" ht="24" customHeight="1" x14ac:dyDescent="0.2"/>
    <row r="167" spans="1:25" ht="54" customHeight="1" x14ac:dyDescent="0.2">
      <c r="A167" s="29">
        <f>'Invetario de Tablas'!A22</f>
        <v>19</v>
      </c>
      <c r="B167" s="30" t="s">
        <v>177</v>
      </c>
      <c r="C167" s="6" t="str">
        <f>'Invetario de Tablas'!B22</f>
        <v>transaccion</v>
      </c>
      <c r="D167" s="6"/>
      <c r="E167" s="6"/>
      <c r="F167" s="6"/>
      <c r="G167" s="5" t="s">
        <v>178</v>
      </c>
      <c r="H167" s="5"/>
      <c r="I167" s="5"/>
      <c r="J167" s="5"/>
      <c r="K167" s="4" t="str">
        <f>'Invetario de Tablas'!C22</f>
        <v>Encabezado de la compraventa o contratación realizada.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31" t="s">
        <v>255</v>
      </c>
      <c r="Y167" s="32" t="s">
        <v>256</v>
      </c>
    </row>
    <row r="168" spans="1:25" ht="45" customHeight="1" x14ac:dyDescent="0.2">
      <c r="A168" s="33" t="s">
        <v>1</v>
      </c>
      <c r="B168" s="34" t="s">
        <v>257</v>
      </c>
      <c r="C168" s="3" t="s">
        <v>258</v>
      </c>
      <c r="D168" s="3"/>
      <c r="E168" s="3"/>
      <c r="F168" s="3"/>
      <c r="G168" s="3" t="s">
        <v>259</v>
      </c>
      <c r="H168" s="3"/>
      <c r="I168" s="3"/>
      <c r="J168" s="3"/>
      <c r="K168" s="3" t="s">
        <v>260</v>
      </c>
      <c r="L168" s="3"/>
      <c r="M168" s="3"/>
      <c r="N168" s="3"/>
      <c r="O168" s="3" t="s">
        <v>261</v>
      </c>
      <c r="P168" s="3"/>
      <c r="Q168" s="3"/>
      <c r="R168" s="3" t="s">
        <v>262</v>
      </c>
      <c r="S168" s="3"/>
      <c r="T168" s="3" t="s">
        <v>263</v>
      </c>
      <c r="U168" s="3"/>
      <c r="V168" s="3" t="s">
        <v>264</v>
      </c>
      <c r="W168" s="3"/>
      <c r="X168" s="2" t="s">
        <v>265</v>
      </c>
      <c r="Y168" s="2"/>
    </row>
    <row r="169" spans="1:25" ht="48" customHeight="1" x14ac:dyDescent="0.2">
      <c r="A169" s="35">
        <v>1</v>
      </c>
      <c r="B169" s="36" t="s">
        <v>497</v>
      </c>
      <c r="C169" s="1" t="s">
        <v>498</v>
      </c>
      <c r="D169" s="1"/>
      <c r="E169" s="1"/>
      <c r="F169" s="1"/>
      <c r="G169" s="1" t="s">
        <v>299</v>
      </c>
      <c r="H169" s="1"/>
      <c r="I169" s="1"/>
      <c r="J169" s="1"/>
      <c r="K169" s="1" t="s">
        <v>89</v>
      </c>
      <c r="L169" s="1"/>
      <c r="M169" s="1"/>
      <c r="N169" s="1"/>
      <c r="O169" s="48" t="s">
        <v>269</v>
      </c>
      <c r="P169" s="48"/>
      <c r="Q169" s="48"/>
      <c r="R169" s="48" t="s">
        <v>270</v>
      </c>
      <c r="S169" s="48"/>
      <c r="T169" s="48"/>
      <c r="U169" s="48"/>
      <c r="V169" s="48"/>
      <c r="W169" s="48"/>
      <c r="X169" s="49" t="s">
        <v>637</v>
      </c>
      <c r="Y169" s="49"/>
    </row>
    <row r="170" spans="1:25" ht="48" customHeight="1" x14ac:dyDescent="0.2">
      <c r="A170" s="35">
        <v>2</v>
      </c>
      <c r="B170" s="36" t="s">
        <v>499</v>
      </c>
      <c r="C170" s="1" t="s">
        <v>500</v>
      </c>
      <c r="D170" s="1"/>
      <c r="E170" s="1"/>
      <c r="F170" s="1"/>
      <c r="G170" s="1" t="s">
        <v>19</v>
      </c>
      <c r="H170" s="1"/>
      <c r="I170" s="1"/>
      <c r="J170" s="1"/>
      <c r="K170" s="1" t="s">
        <v>22</v>
      </c>
      <c r="L170" s="1"/>
      <c r="M170" s="1"/>
      <c r="N170" s="1"/>
      <c r="O170" s="48" t="s">
        <v>269</v>
      </c>
      <c r="P170" s="48"/>
      <c r="Q170" s="48"/>
      <c r="R170" s="48"/>
      <c r="S170" s="48"/>
      <c r="T170" s="48"/>
      <c r="U170" s="48"/>
      <c r="V170" s="48" t="s">
        <v>270</v>
      </c>
      <c r="W170" s="48"/>
      <c r="X170" s="49" t="s">
        <v>302</v>
      </c>
      <c r="Y170" s="49"/>
    </row>
    <row r="171" spans="1:25" ht="48" customHeight="1" x14ac:dyDescent="0.2">
      <c r="A171" s="35">
        <v>3</v>
      </c>
      <c r="B171" s="36" t="s">
        <v>501</v>
      </c>
      <c r="C171" s="1" t="s">
        <v>502</v>
      </c>
      <c r="D171" s="1"/>
      <c r="E171" s="1"/>
      <c r="F171" s="1"/>
      <c r="G171" s="1" t="s">
        <v>334</v>
      </c>
      <c r="H171" s="1"/>
      <c r="I171" s="1"/>
      <c r="J171" s="1"/>
      <c r="K171" s="1" t="s">
        <v>89</v>
      </c>
      <c r="L171" s="1"/>
      <c r="M171" s="1"/>
      <c r="N171" s="1"/>
      <c r="O171" s="48" t="s">
        <v>269</v>
      </c>
      <c r="P171" s="48"/>
      <c r="Q171" s="48"/>
      <c r="R171" s="48"/>
      <c r="S171" s="48"/>
      <c r="T171" s="48" t="s">
        <v>270</v>
      </c>
      <c r="U171" s="48"/>
      <c r="V171" s="48"/>
      <c r="W171" s="48"/>
      <c r="X171" s="49" t="s">
        <v>335</v>
      </c>
      <c r="Y171" s="49"/>
    </row>
    <row r="172" spans="1:25" ht="48" customHeight="1" x14ac:dyDescent="0.2">
      <c r="A172" s="35">
        <v>4</v>
      </c>
      <c r="B172" s="36" t="s">
        <v>488</v>
      </c>
      <c r="C172" s="1" t="s">
        <v>503</v>
      </c>
      <c r="D172" s="1"/>
      <c r="E172" s="1"/>
      <c r="F172" s="1"/>
      <c r="G172" s="1" t="s">
        <v>304</v>
      </c>
      <c r="H172" s="1"/>
      <c r="I172" s="1"/>
      <c r="J172" s="1"/>
      <c r="K172" s="1" t="s">
        <v>80</v>
      </c>
      <c r="L172" s="1"/>
      <c r="M172" s="1"/>
      <c r="N172" s="1"/>
      <c r="O172" s="48" t="s">
        <v>269</v>
      </c>
      <c r="P172" s="48"/>
      <c r="Q172" s="48"/>
      <c r="R172" s="48"/>
      <c r="S172" s="48"/>
      <c r="T172" s="48" t="s">
        <v>270</v>
      </c>
      <c r="U172" s="48"/>
      <c r="V172" s="48"/>
      <c r="W172" s="48"/>
      <c r="X172" s="49" t="s">
        <v>504</v>
      </c>
      <c r="Y172" s="49"/>
    </row>
    <row r="173" spans="1:25" ht="48" customHeight="1" x14ac:dyDescent="0.2">
      <c r="A173" s="35">
        <v>5</v>
      </c>
      <c r="B173" s="36" t="s">
        <v>505</v>
      </c>
      <c r="C173" s="1" t="s">
        <v>506</v>
      </c>
      <c r="D173" s="1"/>
      <c r="E173" s="1"/>
      <c r="F173" s="1"/>
      <c r="G173" s="1" t="s">
        <v>462</v>
      </c>
      <c r="H173" s="1"/>
      <c r="I173" s="1"/>
      <c r="J173" s="1"/>
      <c r="K173" s="1" t="s">
        <v>110</v>
      </c>
      <c r="L173" s="1"/>
      <c r="M173" s="1"/>
      <c r="N173" s="1"/>
      <c r="O173" s="48" t="s">
        <v>269</v>
      </c>
      <c r="P173" s="48"/>
      <c r="Q173" s="48"/>
      <c r="R173" s="48"/>
      <c r="S173" s="48"/>
      <c r="T173" s="48"/>
      <c r="U173" s="48"/>
      <c r="V173" s="48"/>
      <c r="W173" s="48"/>
      <c r="X173" s="49" t="s">
        <v>463</v>
      </c>
      <c r="Y173" s="49"/>
    </row>
    <row r="174" spans="1:25" ht="90" customHeight="1" x14ac:dyDescent="0.2">
      <c r="A174" s="35">
        <v>6</v>
      </c>
      <c r="B174" s="36" t="s">
        <v>507</v>
      </c>
      <c r="C174" s="1" t="s">
        <v>508</v>
      </c>
      <c r="D174" s="1"/>
      <c r="E174" s="1"/>
      <c r="F174" s="1"/>
      <c r="G174" s="1" t="s">
        <v>509</v>
      </c>
      <c r="H174" s="1"/>
      <c r="I174" s="1"/>
      <c r="J174" s="1"/>
      <c r="K174" s="1" t="s">
        <v>119</v>
      </c>
      <c r="L174" s="1"/>
      <c r="M174" s="1"/>
      <c r="N174" s="1"/>
      <c r="O174" s="48" t="s">
        <v>269</v>
      </c>
      <c r="P174" s="48"/>
      <c r="Q174" s="48"/>
      <c r="R174" s="48"/>
      <c r="S174" s="48"/>
      <c r="T174" s="48"/>
      <c r="U174" s="48"/>
      <c r="V174" s="48"/>
      <c r="W174" s="48"/>
      <c r="X174" s="49" t="s">
        <v>510</v>
      </c>
      <c r="Y174" s="49"/>
    </row>
    <row r="175" spans="1:25" ht="48" customHeight="1" x14ac:dyDescent="0.2">
      <c r="A175" s="35">
        <v>7</v>
      </c>
      <c r="B175" s="36" t="s">
        <v>511</v>
      </c>
      <c r="C175" s="1" t="s">
        <v>512</v>
      </c>
      <c r="D175" s="1"/>
      <c r="E175" s="1"/>
      <c r="F175" s="1"/>
      <c r="G175" s="1" t="s">
        <v>87</v>
      </c>
      <c r="H175" s="1"/>
      <c r="I175" s="1"/>
      <c r="J175" s="1"/>
      <c r="K175" s="1" t="s">
        <v>89</v>
      </c>
      <c r="L175" s="1"/>
      <c r="M175" s="1"/>
      <c r="N175" s="1"/>
      <c r="O175" s="48" t="s">
        <v>269</v>
      </c>
      <c r="P175" s="48"/>
      <c r="Q175" s="48"/>
      <c r="R175" s="48"/>
      <c r="S175" s="48"/>
      <c r="T175" s="48"/>
      <c r="U175" s="48"/>
      <c r="V175" s="48"/>
      <c r="W175" s="48"/>
      <c r="X175" s="49" t="s">
        <v>332</v>
      </c>
      <c r="Y175" s="49"/>
    </row>
    <row r="176" spans="1:25" ht="24" customHeight="1" x14ac:dyDescent="0.2"/>
    <row r="177" spans="1:25" ht="54" customHeight="1" x14ac:dyDescent="0.2">
      <c r="A177" s="29">
        <f>'Invetario de Tablas'!A23</f>
        <v>20</v>
      </c>
      <c r="B177" s="30" t="s">
        <v>177</v>
      </c>
      <c r="C177" s="6" t="str">
        <f>'Invetario de Tablas'!B23</f>
        <v>detalle_transaccion</v>
      </c>
      <c r="D177" s="6"/>
      <c r="E177" s="6"/>
      <c r="F177" s="6"/>
      <c r="G177" s="5" t="s">
        <v>178</v>
      </c>
      <c r="H177" s="5"/>
      <c r="I177" s="5"/>
      <c r="J177" s="5"/>
      <c r="K177" s="4" t="str">
        <f>'Invetario de Tablas'!C23</f>
        <v>Traza detallada de la venta (artículo, cantidad, precio unitario).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31" t="s">
        <v>255</v>
      </c>
      <c r="Y177" s="32" t="s">
        <v>256</v>
      </c>
    </row>
    <row r="178" spans="1:25" ht="45" customHeight="1" x14ac:dyDescent="0.2">
      <c r="A178" s="33" t="s">
        <v>1</v>
      </c>
      <c r="B178" s="34" t="s">
        <v>257</v>
      </c>
      <c r="C178" s="3" t="s">
        <v>258</v>
      </c>
      <c r="D178" s="3"/>
      <c r="E178" s="3"/>
      <c r="F178" s="3"/>
      <c r="G178" s="3" t="s">
        <v>259</v>
      </c>
      <c r="H178" s="3"/>
      <c r="I178" s="3"/>
      <c r="J178" s="3"/>
      <c r="K178" s="3" t="s">
        <v>260</v>
      </c>
      <c r="L178" s="3"/>
      <c r="M178" s="3"/>
      <c r="N178" s="3"/>
      <c r="O178" s="3" t="s">
        <v>261</v>
      </c>
      <c r="P178" s="3"/>
      <c r="Q178" s="3"/>
      <c r="R178" s="3" t="s">
        <v>262</v>
      </c>
      <c r="S178" s="3"/>
      <c r="T178" s="3" t="s">
        <v>263</v>
      </c>
      <c r="U178" s="3"/>
      <c r="V178" s="3" t="s">
        <v>264</v>
      </c>
      <c r="W178" s="3"/>
      <c r="X178" s="2" t="s">
        <v>265</v>
      </c>
      <c r="Y178" s="2"/>
    </row>
    <row r="179" spans="1:25" ht="48" customHeight="1" x14ac:dyDescent="0.2">
      <c r="A179" s="35">
        <v>1</v>
      </c>
      <c r="B179" s="36" t="s">
        <v>497</v>
      </c>
      <c r="C179" s="1" t="s">
        <v>513</v>
      </c>
      <c r="D179" s="1"/>
      <c r="E179" s="1"/>
      <c r="F179" s="1"/>
      <c r="G179" s="1" t="s">
        <v>334</v>
      </c>
      <c r="H179" s="1"/>
      <c r="I179" s="1"/>
      <c r="J179" s="1"/>
      <c r="K179" s="1" t="s">
        <v>89</v>
      </c>
      <c r="L179" s="1"/>
      <c r="M179" s="1"/>
      <c r="N179" s="1"/>
      <c r="O179" s="48" t="s">
        <v>269</v>
      </c>
      <c r="P179" s="48"/>
      <c r="Q179" s="48"/>
      <c r="R179" s="48" t="s">
        <v>270</v>
      </c>
      <c r="S179" s="48"/>
      <c r="T179" s="48" t="s">
        <v>270</v>
      </c>
      <c r="U179" s="48"/>
      <c r="V179" s="48"/>
      <c r="W179" s="48"/>
      <c r="X179" s="49" t="s">
        <v>514</v>
      </c>
      <c r="Y179" s="49"/>
    </row>
    <row r="180" spans="1:25" ht="48" customHeight="1" x14ac:dyDescent="0.2">
      <c r="A180" s="35">
        <v>2</v>
      </c>
      <c r="B180" s="36" t="s">
        <v>515</v>
      </c>
      <c r="C180" s="1" t="s">
        <v>516</v>
      </c>
      <c r="D180" s="1"/>
      <c r="E180" s="1"/>
      <c r="F180" s="1"/>
      <c r="G180" s="1" t="s">
        <v>304</v>
      </c>
      <c r="H180" s="1"/>
      <c r="I180" s="1"/>
      <c r="J180" s="1"/>
      <c r="K180" s="1" t="s">
        <v>80</v>
      </c>
      <c r="L180" s="1"/>
      <c r="M180" s="1"/>
      <c r="N180" s="1"/>
      <c r="O180" s="48" t="s">
        <v>269</v>
      </c>
      <c r="P180" s="48"/>
      <c r="Q180" s="48"/>
      <c r="R180" s="48" t="s">
        <v>270</v>
      </c>
      <c r="S180" s="48"/>
      <c r="T180" s="48"/>
      <c r="U180" s="48"/>
      <c r="V180" s="48"/>
      <c r="W180" s="48"/>
      <c r="X180" s="49" t="s">
        <v>380</v>
      </c>
      <c r="Y180" s="49"/>
    </row>
    <row r="181" spans="1:25" ht="69" customHeight="1" x14ac:dyDescent="0.2">
      <c r="A181" s="35">
        <v>3</v>
      </c>
      <c r="B181" s="36" t="s">
        <v>472</v>
      </c>
      <c r="C181" s="1" t="s">
        <v>517</v>
      </c>
      <c r="D181" s="1"/>
      <c r="E181" s="1"/>
      <c r="F181" s="1"/>
      <c r="G181" s="1" t="s">
        <v>334</v>
      </c>
      <c r="H181" s="1"/>
      <c r="I181" s="1"/>
      <c r="J181" s="1"/>
      <c r="K181" s="1" t="s">
        <v>89</v>
      </c>
      <c r="L181" s="1"/>
      <c r="M181" s="1"/>
      <c r="N181" s="1"/>
      <c r="O181" s="48" t="s">
        <v>283</v>
      </c>
      <c r="P181" s="48"/>
      <c r="Q181" s="48"/>
      <c r="R181" s="48"/>
      <c r="S181" s="48"/>
      <c r="T181" s="48" t="s">
        <v>270</v>
      </c>
      <c r="U181" s="48"/>
      <c r="V181" s="48"/>
      <c r="W181" s="48"/>
      <c r="X181" s="49" t="s">
        <v>518</v>
      </c>
      <c r="Y181" s="49"/>
    </row>
    <row r="182" spans="1:25" ht="69" customHeight="1" x14ac:dyDescent="0.2">
      <c r="A182" s="35">
        <v>4</v>
      </c>
      <c r="B182" s="36" t="s">
        <v>451</v>
      </c>
      <c r="C182" s="1" t="s">
        <v>519</v>
      </c>
      <c r="D182" s="1"/>
      <c r="E182" s="1"/>
      <c r="F182" s="1"/>
      <c r="G182" s="1" t="s">
        <v>334</v>
      </c>
      <c r="H182" s="1"/>
      <c r="I182" s="1"/>
      <c r="J182" s="1"/>
      <c r="K182" s="1" t="s">
        <v>89</v>
      </c>
      <c r="L182" s="1"/>
      <c r="M182" s="1"/>
      <c r="N182" s="1"/>
      <c r="O182" s="48" t="s">
        <v>283</v>
      </c>
      <c r="P182" s="48"/>
      <c r="Q182" s="48"/>
      <c r="R182" s="48"/>
      <c r="S182" s="48"/>
      <c r="T182" s="48" t="s">
        <v>270</v>
      </c>
      <c r="U182" s="48"/>
      <c r="V182" s="48"/>
      <c r="W182" s="48"/>
      <c r="X182" s="49" t="s">
        <v>520</v>
      </c>
      <c r="Y182" s="49"/>
    </row>
    <row r="183" spans="1:25" ht="48" customHeight="1" x14ac:dyDescent="0.2">
      <c r="A183" s="35">
        <v>5</v>
      </c>
      <c r="B183" s="36" t="s">
        <v>521</v>
      </c>
      <c r="C183" s="1" t="s">
        <v>522</v>
      </c>
      <c r="D183" s="1"/>
      <c r="E183" s="1"/>
      <c r="F183" s="1"/>
      <c r="G183" s="1" t="s">
        <v>304</v>
      </c>
      <c r="H183" s="1"/>
      <c r="I183" s="1"/>
      <c r="J183" s="1"/>
      <c r="K183" s="1" t="s">
        <v>80</v>
      </c>
      <c r="L183" s="1"/>
      <c r="M183" s="1"/>
      <c r="N183" s="1"/>
      <c r="O183" s="48" t="s">
        <v>269</v>
      </c>
      <c r="P183" s="48"/>
      <c r="Q183" s="48"/>
      <c r="R183" s="48"/>
      <c r="S183" s="48"/>
      <c r="T183" s="48"/>
      <c r="U183" s="48"/>
      <c r="V183" s="48"/>
      <c r="W183" s="48"/>
      <c r="X183" s="49" t="s">
        <v>523</v>
      </c>
      <c r="Y183" s="49"/>
    </row>
    <row r="184" spans="1:25" ht="48" customHeight="1" x14ac:dyDescent="0.2">
      <c r="A184" s="35">
        <v>6</v>
      </c>
      <c r="B184" s="36" t="s">
        <v>524</v>
      </c>
      <c r="C184" s="1" t="s">
        <v>525</v>
      </c>
      <c r="D184" s="1"/>
      <c r="E184" s="1"/>
      <c r="F184" s="1"/>
      <c r="G184" s="1" t="s">
        <v>462</v>
      </c>
      <c r="H184" s="1"/>
      <c r="I184" s="1"/>
      <c r="J184" s="1"/>
      <c r="K184" s="1" t="s">
        <v>110</v>
      </c>
      <c r="L184" s="1"/>
      <c r="M184" s="1"/>
      <c r="N184" s="1"/>
      <c r="O184" s="48" t="s">
        <v>269</v>
      </c>
      <c r="P184" s="48"/>
      <c r="Q184" s="48"/>
      <c r="R184" s="48"/>
      <c r="S184" s="48"/>
      <c r="T184" s="48"/>
      <c r="U184" s="48"/>
      <c r="V184" s="48"/>
      <c r="W184" s="48"/>
      <c r="X184" s="49" t="s">
        <v>463</v>
      </c>
      <c r="Y184" s="49"/>
    </row>
    <row r="185" spans="1:25" ht="24" customHeight="1" x14ac:dyDescent="0.2"/>
    <row r="186" spans="1:25" ht="54" customHeight="1" x14ac:dyDescent="0.2">
      <c r="A186" s="29">
        <f>'Invetario de Tablas'!A24</f>
        <v>21</v>
      </c>
      <c r="B186" s="30" t="s">
        <v>177</v>
      </c>
      <c r="C186" s="6" t="str">
        <f>'Invetario de Tablas'!B24</f>
        <v>tipo_evento</v>
      </c>
      <c r="D186" s="6"/>
      <c r="E186" s="6"/>
      <c r="F186" s="6"/>
      <c r="G186" s="5" t="s">
        <v>178</v>
      </c>
      <c r="H186" s="5"/>
      <c r="I186" s="5"/>
      <c r="J186" s="5"/>
      <c r="K186" s="4" t="str">
        <f>'Invetario de Tablas'!C24</f>
        <v>Catálogo de tipos de evento (taller, conferencia, reunión de estudio).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31" t="s">
        <v>255</v>
      </c>
      <c r="Y186" s="32" t="s">
        <v>256</v>
      </c>
    </row>
    <row r="187" spans="1:25" ht="45" customHeight="1" x14ac:dyDescent="0.2">
      <c r="A187" s="33" t="s">
        <v>1</v>
      </c>
      <c r="B187" s="34" t="s">
        <v>257</v>
      </c>
      <c r="C187" s="3" t="s">
        <v>258</v>
      </c>
      <c r="D187" s="3"/>
      <c r="E187" s="3"/>
      <c r="F187" s="3"/>
      <c r="G187" s="3" t="s">
        <v>259</v>
      </c>
      <c r="H187" s="3"/>
      <c r="I187" s="3"/>
      <c r="J187" s="3"/>
      <c r="K187" s="3" t="s">
        <v>260</v>
      </c>
      <c r="L187" s="3"/>
      <c r="M187" s="3"/>
      <c r="N187" s="3"/>
      <c r="O187" s="3" t="s">
        <v>261</v>
      </c>
      <c r="P187" s="3"/>
      <c r="Q187" s="3"/>
      <c r="R187" s="3" t="s">
        <v>262</v>
      </c>
      <c r="S187" s="3"/>
      <c r="T187" s="3" t="s">
        <v>263</v>
      </c>
      <c r="U187" s="3"/>
      <c r="V187" s="3" t="s">
        <v>264</v>
      </c>
      <c r="W187" s="3"/>
      <c r="X187" s="2" t="s">
        <v>265</v>
      </c>
      <c r="Y187" s="2"/>
    </row>
    <row r="188" spans="1:25" ht="48" customHeight="1" x14ac:dyDescent="0.2">
      <c r="A188" s="35">
        <v>1</v>
      </c>
      <c r="B188" s="36" t="s">
        <v>526</v>
      </c>
      <c r="C188" s="1" t="s">
        <v>527</v>
      </c>
      <c r="D188" s="1"/>
      <c r="E188" s="1"/>
      <c r="F188" s="1"/>
      <c r="G188" s="1" t="s">
        <v>268</v>
      </c>
      <c r="H188" s="1"/>
      <c r="I188" s="1"/>
      <c r="J188" s="1"/>
      <c r="K188" s="1" t="s">
        <v>80</v>
      </c>
      <c r="L188" s="1"/>
      <c r="M188" s="1"/>
      <c r="N188" s="1"/>
      <c r="O188" s="48" t="s">
        <v>269</v>
      </c>
      <c r="P188" s="48"/>
      <c r="Q188" s="48"/>
      <c r="R188" s="48" t="s">
        <v>270</v>
      </c>
      <c r="S188" s="48"/>
      <c r="T188" s="48"/>
      <c r="U188" s="48"/>
      <c r="V188" s="48"/>
      <c r="W188" s="48"/>
      <c r="X188" s="49" t="s">
        <v>637</v>
      </c>
      <c r="Y188" s="49"/>
    </row>
    <row r="189" spans="1:25" ht="48" customHeight="1" x14ac:dyDescent="0.2">
      <c r="A189" s="35">
        <v>2</v>
      </c>
      <c r="B189" s="36" t="s">
        <v>528</v>
      </c>
      <c r="C189" s="1" t="s">
        <v>529</v>
      </c>
      <c r="D189" s="1"/>
      <c r="E189" s="1"/>
      <c r="F189" s="1"/>
      <c r="G189" s="1" t="s">
        <v>357</v>
      </c>
      <c r="H189" s="1"/>
      <c r="I189" s="1"/>
      <c r="J189" s="1"/>
      <c r="K189" s="1" t="s">
        <v>358</v>
      </c>
      <c r="L189" s="1"/>
      <c r="M189" s="1"/>
      <c r="N189" s="1"/>
      <c r="O189" s="48" t="s">
        <v>269</v>
      </c>
      <c r="P189" s="48"/>
      <c r="Q189" s="48"/>
      <c r="R189" s="48"/>
      <c r="S189" s="48"/>
      <c r="T189" s="48"/>
      <c r="U189" s="48"/>
      <c r="V189" s="48" t="s">
        <v>270</v>
      </c>
      <c r="W189" s="48"/>
      <c r="X189" s="49"/>
      <c r="Y189" s="49"/>
    </row>
    <row r="190" spans="1:25" ht="69" customHeight="1" x14ac:dyDescent="0.2">
      <c r="A190" s="35">
        <v>3</v>
      </c>
      <c r="B190" s="36" t="s">
        <v>530</v>
      </c>
      <c r="C190" s="1" t="s">
        <v>531</v>
      </c>
      <c r="D190" s="1"/>
      <c r="E190" s="1"/>
      <c r="F190" s="1"/>
      <c r="G190" s="1" t="s">
        <v>281</v>
      </c>
      <c r="H190" s="1"/>
      <c r="I190" s="1"/>
      <c r="J190" s="1"/>
      <c r="K190" s="1" t="s">
        <v>282</v>
      </c>
      <c r="L190" s="1"/>
      <c r="M190" s="1"/>
      <c r="N190" s="1"/>
      <c r="O190" s="48" t="s">
        <v>283</v>
      </c>
      <c r="P190" s="48"/>
      <c r="Q190" s="48"/>
      <c r="R190" s="48"/>
      <c r="S190" s="48"/>
      <c r="T190" s="48"/>
      <c r="U190" s="48"/>
      <c r="V190" s="48"/>
      <c r="W190" s="48"/>
      <c r="X190" s="49"/>
      <c r="Y190" s="49"/>
    </row>
    <row r="191" spans="1:25" ht="48" customHeight="1" x14ac:dyDescent="0.2">
      <c r="A191" s="35">
        <v>4</v>
      </c>
      <c r="B191" s="36" t="s">
        <v>284</v>
      </c>
      <c r="C191" s="1" t="s">
        <v>361</v>
      </c>
      <c r="D191" s="1"/>
      <c r="E191" s="1"/>
      <c r="F191" s="1"/>
      <c r="G191" s="1" t="s">
        <v>47</v>
      </c>
      <c r="H191" s="1"/>
      <c r="I191" s="1"/>
      <c r="J191" s="1"/>
      <c r="K191" s="1" t="s">
        <v>49</v>
      </c>
      <c r="L191" s="1"/>
      <c r="M191" s="1"/>
      <c r="N191" s="1"/>
      <c r="O191" s="48" t="s">
        <v>269</v>
      </c>
      <c r="P191" s="48"/>
      <c r="Q191" s="48"/>
      <c r="R191" s="48"/>
      <c r="S191" s="48"/>
      <c r="T191" s="48"/>
      <c r="U191" s="48"/>
      <c r="V191" s="48"/>
      <c r="W191" s="48"/>
      <c r="X191" s="49" t="s">
        <v>286</v>
      </c>
      <c r="Y191" s="49"/>
    </row>
    <row r="192" spans="1:25" ht="24" customHeight="1" x14ac:dyDescent="0.2"/>
    <row r="193" spans="1:25" ht="54" customHeight="1" x14ac:dyDescent="0.2">
      <c r="A193" s="29">
        <f>'Invetario de Tablas'!A25</f>
        <v>22</v>
      </c>
      <c r="B193" s="30" t="s">
        <v>177</v>
      </c>
      <c r="C193" s="6" t="str">
        <f>'Invetario de Tablas'!B25</f>
        <v>evento</v>
      </c>
      <c r="D193" s="6"/>
      <c r="E193" s="6"/>
      <c r="F193" s="6"/>
      <c r="G193" s="5" t="s">
        <v>178</v>
      </c>
      <c r="H193" s="5"/>
      <c r="I193" s="5"/>
      <c r="J193" s="5"/>
      <c r="K193" s="4" t="str">
        <f>'Invetario de Tablas'!C25</f>
        <v>Eventos académicos o sociales organizados dentro de la comunidad.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31" t="s">
        <v>255</v>
      </c>
      <c r="Y193" s="32" t="s">
        <v>256</v>
      </c>
    </row>
    <row r="194" spans="1:25" ht="45" customHeight="1" x14ac:dyDescent="0.2">
      <c r="A194" s="33" t="s">
        <v>1</v>
      </c>
      <c r="B194" s="34" t="s">
        <v>257</v>
      </c>
      <c r="C194" s="3" t="s">
        <v>258</v>
      </c>
      <c r="D194" s="3"/>
      <c r="E194" s="3"/>
      <c r="F194" s="3"/>
      <c r="G194" s="3" t="s">
        <v>259</v>
      </c>
      <c r="H194" s="3"/>
      <c r="I194" s="3"/>
      <c r="J194" s="3"/>
      <c r="K194" s="3" t="s">
        <v>260</v>
      </c>
      <c r="L194" s="3"/>
      <c r="M194" s="3"/>
      <c r="N194" s="3"/>
      <c r="O194" s="3" t="s">
        <v>261</v>
      </c>
      <c r="P194" s="3"/>
      <c r="Q194" s="3"/>
      <c r="R194" s="3" t="s">
        <v>262</v>
      </c>
      <c r="S194" s="3"/>
      <c r="T194" s="3" t="s">
        <v>263</v>
      </c>
      <c r="U194" s="3"/>
      <c r="V194" s="3" t="s">
        <v>264</v>
      </c>
      <c r="W194" s="3"/>
      <c r="X194" s="2" t="s">
        <v>265</v>
      </c>
      <c r="Y194" s="2"/>
    </row>
    <row r="195" spans="1:25" ht="30" customHeight="1" x14ac:dyDescent="0.2">
      <c r="A195" s="35">
        <v>1</v>
      </c>
      <c r="B195" s="36" t="s">
        <v>532</v>
      </c>
      <c r="C195" s="1" t="s">
        <v>533</v>
      </c>
      <c r="D195" s="1"/>
      <c r="E195" s="1"/>
      <c r="F195" s="1"/>
      <c r="G195" s="1" t="s">
        <v>299</v>
      </c>
      <c r="H195" s="1"/>
      <c r="I195" s="1"/>
      <c r="J195" s="1"/>
      <c r="K195" s="1" t="s">
        <v>89</v>
      </c>
      <c r="L195" s="1"/>
      <c r="M195" s="1"/>
      <c r="N195" s="1"/>
      <c r="O195" s="48" t="s">
        <v>269</v>
      </c>
      <c r="P195" s="48"/>
      <c r="Q195" s="48"/>
      <c r="R195" s="48" t="s">
        <v>270</v>
      </c>
      <c r="S195" s="48"/>
      <c r="T195" s="48"/>
      <c r="U195" s="48"/>
      <c r="V195" s="48"/>
      <c r="W195" s="48"/>
      <c r="X195" s="49" t="s">
        <v>637</v>
      </c>
      <c r="Y195" s="49"/>
    </row>
    <row r="196" spans="1:25" ht="48" customHeight="1" x14ac:dyDescent="0.2">
      <c r="A196" s="35">
        <v>2</v>
      </c>
      <c r="B196" s="36" t="s">
        <v>534</v>
      </c>
      <c r="C196" s="1" t="s">
        <v>535</v>
      </c>
      <c r="D196" s="1"/>
      <c r="E196" s="1"/>
      <c r="F196" s="1"/>
      <c r="G196" s="1" t="s">
        <v>334</v>
      </c>
      <c r="H196" s="1"/>
      <c r="I196" s="1"/>
      <c r="J196" s="1"/>
      <c r="K196" s="1" t="s">
        <v>89</v>
      </c>
      <c r="L196" s="1"/>
      <c r="M196" s="1"/>
      <c r="N196" s="1"/>
      <c r="O196" s="48" t="s">
        <v>269</v>
      </c>
      <c r="P196" s="48"/>
      <c r="Q196" s="48"/>
      <c r="R196" s="48"/>
      <c r="S196" s="48"/>
      <c r="T196" s="48" t="s">
        <v>270</v>
      </c>
      <c r="U196" s="48"/>
      <c r="V196" s="48"/>
      <c r="W196" s="48"/>
      <c r="X196" s="49" t="s">
        <v>335</v>
      </c>
      <c r="Y196" s="49"/>
    </row>
    <row r="197" spans="1:25" ht="48" customHeight="1" x14ac:dyDescent="0.2">
      <c r="A197" s="35">
        <v>3</v>
      </c>
      <c r="B197" s="36" t="s">
        <v>526</v>
      </c>
      <c r="C197" s="1" t="s">
        <v>536</v>
      </c>
      <c r="D197" s="1"/>
      <c r="E197" s="1"/>
      <c r="F197" s="1"/>
      <c r="G197" s="1" t="s">
        <v>304</v>
      </c>
      <c r="H197" s="1"/>
      <c r="I197" s="1"/>
      <c r="J197" s="1"/>
      <c r="K197" s="1" t="s">
        <v>80</v>
      </c>
      <c r="L197" s="1"/>
      <c r="M197" s="1"/>
      <c r="N197" s="1"/>
      <c r="O197" s="48" t="s">
        <v>269</v>
      </c>
      <c r="P197" s="48"/>
      <c r="Q197" s="48"/>
      <c r="R197" s="48"/>
      <c r="S197" s="48"/>
      <c r="T197" s="48" t="s">
        <v>270</v>
      </c>
      <c r="U197" s="48"/>
      <c r="V197" s="48"/>
      <c r="W197" s="48"/>
      <c r="X197" s="49" t="s">
        <v>537</v>
      </c>
      <c r="Y197" s="49"/>
    </row>
    <row r="198" spans="1:25" ht="30" customHeight="1" x14ac:dyDescent="0.2">
      <c r="A198" s="35">
        <v>4</v>
      </c>
      <c r="B198" s="36" t="s">
        <v>538</v>
      </c>
      <c r="C198" s="1" t="s">
        <v>539</v>
      </c>
      <c r="D198" s="1"/>
      <c r="E198" s="1"/>
      <c r="F198" s="1"/>
      <c r="G198" s="1" t="s">
        <v>344</v>
      </c>
      <c r="H198" s="1"/>
      <c r="I198" s="1"/>
      <c r="J198" s="1"/>
      <c r="K198" s="1" t="s">
        <v>345</v>
      </c>
      <c r="L198" s="1"/>
      <c r="M198" s="1"/>
      <c r="N198" s="1"/>
      <c r="O198" s="48" t="s">
        <v>269</v>
      </c>
      <c r="P198" s="48"/>
      <c r="Q198" s="48"/>
      <c r="R198" s="48"/>
      <c r="S198" s="48"/>
      <c r="T198" s="48"/>
      <c r="U198" s="48"/>
      <c r="V198" s="48"/>
      <c r="W198" s="48"/>
      <c r="X198" s="49"/>
      <c r="Y198" s="49"/>
    </row>
    <row r="199" spans="1:25" ht="69" customHeight="1" x14ac:dyDescent="0.2">
      <c r="A199" s="35">
        <v>5</v>
      </c>
      <c r="B199" s="36" t="s">
        <v>540</v>
      </c>
      <c r="C199" s="1" t="s">
        <v>541</v>
      </c>
      <c r="D199" s="1"/>
      <c r="E199" s="1"/>
      <c r="F199" s="1"/>
      <c r="G199" s="1" t="s">
        <v>57</v>
      </c>
      <c r="H199" s="1"/>
      <c r="I199" s="1"/>
      <c r="J199" s="1"/>
      <c r="K199" s="1" t="s">
        <v>59</v>
      </c>
      <c r="L199" s="1"/>
      <c r="M199" s="1"/>
      <c r="N199" s="1"/>
      <c r="O199" s="48" t="s">
        <v>283</v>
      </c>
      <c r="P199" s="48"/>
      <c r="Q199" s="48"/>
      <c r="R199" s="48"/>
      <c r="S199" s="48"/>
      <c r="T199" s="48"/>
      <c r="U199" s="48"/>
      <c r="V199" s="48"/>
      <c r="W199" s="48"/>
      <c r="X199" s="49"/>
      <c r="Y199" s="49"/>
    </row>
    <row r="200" spans="1:25" ht="30" customHeight="1" x14ac:dyDescent="0.2">
      <c r="A200" s="35">
        <v>6</v>
      </c>
      <c r="B200" s="36" t="s">
        <v>542</v>
      </c>
      <c r="C200" s="1" t="s">
        <v>543</v>
      </c>
      <c r="D200" s="1"/>
      <c r="E200" s="1"/>
      <c r="F200" s="1"/>
      <c r="G200" s="1" t="s">
        <v>78</v>
      </c>
      <c r="H200" s="1"/>
      <c r="I200" s="1"/>
      <c r="J200" s="1"/>
      <c r="K200" s="1" t="s">
        <v>80</v>
      </c>
      <c r="L200" s="1"/>
      <c r="M200" s="1"/>
      <c r="N200" s="1"/>
      <c r="O200" s="48" t="s">
        <v>269</v>
      </c>
      <c r="P200" s="48"/>
      <c r="Q200" s="48"/>
      <c r="R200" s="48"/>
      <c r="S200" s="48"/>
      <c r="T200" s="48"/>
      <c r="U200" s="48"/>
      <c r="V200" s="48"/>
      <c r="W200" s="48"/>
      <c r="X200" s="49"/>
      <c r="Y200" s="49"/>
    </row>
    <row r="201" spans="1:25" ht="30" customHeight="1" x14ac:dyDescent="0.2">
      <c r="A201" s="35">
        <v>7</v>
      </c>
      <c r="B201" s="36" t="s">
        <v>544</v>
      </c>
      <c r="C201" s="1" t="s">
        <v>545</v>
      </c>
      <c r="D201" s="1"/>
      <c r="E201" s="1"/>
      <c r="F201" s="1"/>
      <c r="G201" s="1" t="s">
        <v>99</v>
      </c>
      <c r="H201" s="1"/>
      <c r="I201" s="1"/>
      <c r="J201" s="1"/>
      <c r="K201" s="1" t="s">
        <v>89</v>
      </c>
      <c r="L201" s="1"/>
      <c r="M201" s="1"/>
      <c r="N201" s="1"/>
      <c r="O201" s="48" t="s">
        <v>269</v>
      </c>
      <c r="P201" s="48"/>
      <c r="Q201" s="48"/>
      <c r="R201" s="48"/>
      <c r="S201" s="48"/>
      <c r="T201" s="48"/>
      <c r="U201" s="48"/>
      <c r="V201" s="48"/>
      <c r="W201" s="48"/>
      <c r="X201" s="49"/>
      <c r="Y201" s="49"/>
    </row>
    <row r="202" spans="1:25" ht="30" customHeight="1" x14ac:dyDescent="0.2">
      <c r="A202" s="35">
        <v>8</v>
      </c>
      <c r="B202" s="36" t="s">
        <v>546</v>
      </c>
      <c r="C202" s="1" t="s">
        <v>547</v>
      </c>
      <c r="D202" s="1"/>
      <c r="E202" s="1"/>
      <c r="F202" s="1"/>
      <c r="G202" s="1" t="s">
        <v>99</v>
      </c>
      <c r="H202" s="1"/>
      <c r="I202" s="1"/>
      <c r="J202" s="1"/>
      <c r="K202" s="1" t="s">
        <v>89</v>
      </c>
      <c r="L202" s="1"/>
      <c r="M202" s="1"/>
      <c r="N202" s="1"/>
      <c r="O202" s="48" t="s">
        <v>283</v>
      </c>
      <c r="P202" s="48"/>
      <c r="Q202" s="48"/>
      <c r="R202" s="48"/>
      <c r="S202" s="48"/>
      <c r="T202" s="48"/>
      <c r="U202" s="48"/>
      <c r="V202" s="48"/>
      <c r="W202" s="48"/>
      <c r="X202" s="49"/>
      <c r="Y202" s="49"/>
    </row>
    <row r="203" spans="1:25" ht="48" customHeight="1" x14ac:dyDescent="0.2">
      <c r="A203" s="35">
        <v>9</v>
      </c>
      <c r="B203" s="36" t="s">
        <v>548</v>
      </c>
      <c r="C203" s="1" t="s">
        <v>549</v>
      </c>
      <c r="D203" s="1"/>
      <c r="E203" s="1"/>
      <c r="F203" s="1"/>
      <c r="G203" s="1" t="s">
        <v>281</v>
      </c>
      <c r="H203" s="1"/>
      <c r="I203" s="1"/>
      <c r="J203" s="1"/>
      <c r="K203" s="1" t="s">
        <v>282</v>
      </c>
      <c r="L203" s="1"/>
      <c r="M203" s="1"/>
      <c r="N203" s="1"/>
      <c r="O203" s="48" t="s">
        <v>283</v>
      </c>
      <c r="P203" s="48"/>
      <c r="Q203" s="48"/>
      <c r="R203" s="48"/>
      <c r="S203" s="48"/>
      <c r="T203" s="48"/>
      <c r="U203" s="48"/>
      <c r="V203" s="48"/>
      <c r="W203" s="48"/>
      <c r="X203" s="49"/>
      <c r="Y203" s="49"/>
    </row>
    <row r="204" spans="1:25" ht="24" customHeight="1" x14ac:dyDescent="0.2"/>
    <row r="205" spans="1:25" ht="54" customHeight="1" x14ac:dyDescent="0.2">
      <c r="A205" s="29">
        <f>'Invetario de Tablas'!A26</f>
        <v>23</v>
      </c>
      <c r="B205" s="30" t="s">
        <v>177</v>
      </c>
      <c r="C205" s="6" t="str">
        <f>'Invetario de Tablas'!B26</f>
        <v>usuario_evento</v>
      </c>
      <c r="D205" s="6"/>
      <c r="E205" s="6"/>
      <c r="F205" s="6"/>
      <c r="G205" s="5" t="s">
        <v>178</v>
      </c>
      <c r="H205" s="5"/>
      <c r="I205" s="5"/>
      <c r="J205" s="5"/>
      <c r="K205" s="4" t="str">
        <f>'Invetario de Tablas'!C26</f>
        <v>Asistencia y participación de los usuarios en los eventos.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31" t="s">
        <v>255</v>
      </c>
      <c r="Y205" s="32" t="s">
        <v>256</v>
      </c>
    </row>
    <row r="206" spans="1:25" ht="45" customHeight="1" x14ac:dyDescent="0.2">
      <c r="A206" s="33" t="s">
        <v>1</v>
      </c>
      <c r="B206" s="34" t="s">
        <v>257</v>
      </c>
      <c r="C206" s="3" t="s">
        <v>258</v>
      </c>
      <c r="D206" s="3"/>
      <c r="E206" s="3"/>
      <c r="F206" s="3"/>
      <c r="G206" s="3" t="s">
        <v>259</v>
      </c>
      <c r="H206" s="3"/>
      <c r="I206" s="3"/>
      <c r="J206" s="3"/>
      <c r="K206" s="3" t="s">
        <v>260</v>
      </c>
      <c r="L206" s="3"/>
      <c r="M206" s="3"/>
      <c r="N206" s="3"/>
      <c r="O206" s="3" t="s">
        <v>261</v>
      </c>
      <c r="P206" s="3"/>
      <c r="Q206" s="3"/>
      <c r="R206" s="3" t="s">
        <v>262</v>
      </c>
      <c r="S206" s="3"/>
      <c r="T206" s="3" t="s">
        <v>263</v>
      </c>
      <c r="U206" s="3"/>
      <c r="V206" s="3" t="s">
        <v>264</v>
      </c>
      <c r="W206" s="3"/>
      <c r="X206" s="2" t="s">
        <v>265</v>
      </c>
      <c r="Y206" s="2"/>
    </row>
    <row r="207" spans="1:25" ht="30" customHeight="1" x14ac:dyDescent="0.2">
      <c r="A207" s="35">
        <v>1</v>
      </c>
      <c r="B207" s="36" t="s">
        <v>297</v>
      </c>
      <c r="C207" s="1" t="s">
        <v>550</v>
      </c>
      <c r="D207" s="1"/>
      <c r="E207" s="1"/>
      <c r="F207" s="1"/>
      <c r="G207" s="1" t="s">
        <v>334</v>
      </c>
      <c r="H207" s="1"/>
      <c r="I207" s="1"/>
      <c r="J207" s="1"/>
      <c r="K207" s="1" t="s">
        <v>89</v>
      </c>
      <c r="L207" s="1"/>
      <c r="M207" s="1"/>
      <c r="N207" s="1"/>
      <c r="O207" s="48" t="s">
        <v>269</v>
      </c>
      <c r="P207" s="48"/>
      <c r="Q207" s="48"/>
      <c r="R207" s="48" t="s">
        <v>270</v>
      </c>
      <c r="S207" s="48"/>
      <c r="T207" s="48" t="s">
        <v>270</v>
      </c>
      <c r="U207" s="48"/>
      <c r="V207" s="48"/>
      <c r="W207" s="48"/>
      <c r="X207" s="49" t="s">
        <v>335</v>
      </c>
      <c r="Y207" s="49"/>
    </row>
    <row r="208" spans="1:25" ht="48" customHeight="1" x14ac:dyDescent="0.2">
      <c r="A208" s="35">
        <v>2</v>
      </c>
      <c r="B208" s="36" t="s">
        <v>532</v>
      </c>
      <c r="C208" s="1" t="s">
        <v>551</v>
      </c>
      <c r="D208" s="1"/>
      <c r="E208" s="1"/>
      <c r="F208" s="1"/>
      <c r="G208" s="1" t="s">
        <v>334</v>
      </c>
      <c r="H208" s="1"/>
      <c r="I208" s="1"/>
      <c r="J208" s="1"/>
      <c r="K208" s="1" t="s">
        <v>89</v>
      </c>
      <c r="L208" s="1"/>
      <c r="M208" s="1"/>
      <c r="N208" s="1"/>
      <c r="O208" s="48" t="s">
        <v>269</v>
      </c>
      <c r="P208" s="48"/>
      <c r="Q208" s="48"/>
      <c r="R208" s="48" t="s">
        <v>270</v>
      </c>
      <c r="S208" s="48"/>
      <c r="T208" s="48" t="s">
        <v>270</v>
      </c>
      <c r="U208" s="48"/>
      <c r="V208" s="48"/>
      <c r="W208" s="48"/>
      <c r="X208" s="49" t="s">
        <v>552</v>
      </c>
      <c r="Y208" s="49"/>
    </row>
    <row r="209" spans="1:25" ht="48" customHeight="1" x14ac:dyDescent="0.2">
      <c r="A209" s="35">
        <v>3</v>
      </c>
      <c r="B209" s="36" t="s">
        <v>553</v>
      </c>
      <c r="C209" s="1" t="s">
        <v>554</v>
      </c>
      <c r="D209" s="1"/>
      <c r="E209" s="1"/>
      <c r="F209" s="1"/>
      <c r="G209" s="1" t="s">
        <v>87</v>
      </c>
      <c r="H209" s="1"/>
      <c r="I209" s="1"/>
      <c r="J209" s="1"/>
      <c r="K209" s="1" t="s">
        <v>89</v>
      </c>
      <c r="L209" s="1"/>
      <c r="M209" s="1"/>
      <c r="N209" s="1"/>
      <c r="O209" s="48" t="s">
        <v>269</v>
      </c>
      <c r="P209" s="48"/>
      <c r="Q209" s="48"/>
      <c r="R209" s="48"/>
      <c r="S209" s="48"/>
      <c r="T209" s="48"/>
      <c r="U209" s="48"/>
      <c r="V209" s="48"/>
      <c r="W209" s="48"/>
      <c r="X209" s="49" t="s">
        <v>332</v>
      </c>
      <c r="Y209" s="49"/>
    </row>
    <row r="210" spans="1:25" ht="48" customHeight="1" x14ac:dyDescent="0.2">
      <c r="A210" s="35">
        <v>4</v>
      </c>
      <c r="B210" s="36" t="s">
        <v>555</v>
      </c>
      <c r="C210" s="1" t="s">
        <v>556</v>
      </c>
      <c r="D210" s="1"/>
      <c r="E210" s="1"/>
      <c r="F210" s="1"/>
      <c r="G210" s="1" t="s">
        <v>47</v>
      </c>
      <c r="H210" s="1"/>
      <c r="I210" s="1"/>
      <c r="J210" s="1"/>
      <c r="K210" s="1" t="s">
        <v>49</v>
      </c>
      <c r="L210" s="1"/>
      <c r="M210" s="1"/>
      <c r="N210" s="1"/>
      <c r="O210" s="48" t="s">
        <v>269</v>
      </c>
      <c r="P210" s="48"/>
      <c r="Q210" s="48"/>
      <c r="R210" s="48"/>
      <c r="S210" s="48"/>
      <c r="T210" s="48"/>
      <c r="U210" s="48"/>
      <c r="V210" s="48"/>
      <c r="W210" s="48"/>
      <c r="X210" s="49" t="s">
        <v>557</v>
      </c>
      <c r="Y210" s="49"/>
    </row>
    <row r="211" spans="1:25" ht="24" customHeight="1" x14ac:dyDescent="0.2"/>
    <row r="212" spans="1:25" ht="54" customHeight="1" x14ac:dyDescent="0.2">
      <c r="A212" s="29">
        <f>'Invetario de Tablas'!A27</f>
        <v>24</v>
      </c>
      <c r="B212" s="30" t="s">
        <v>177</v>
      </c>
      <c r="C212" s="6" t="str">
        <f>'Invetario de Tablas'!B27</f>
        <v>solicitud_mentoria</v>
      </c>
      <c r="D212" s="6"/>
      <c r="E212" s="6"/>
      <c r="F212" s="6"/>
      <c r="G212" s="5" t="s">
        <v>178</v>
      </c>
      <c r="H212" s="5"/>
      <c r="I212" s="5"/>
      <c r="J212" s="5"/>
      <c r="K212" s="4" t="str">
        <f>'Invetario de Tablas'!C27</f>
        <v>Solicitudes de acompañamiento y mentoría entre estudiantes y pares.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31" t="s">
        <v>255</v>
      </c>
      <c r="Y212" s="32" t="s">
        <v>256</v>
      </c>
    </row>
    <row r="213" spans="1:25" ht="45" customHeight="1" x14ac:dyDescent="0.2">
      <c r="A213" s="33" t="s">
        <v>1</v>
      </c>
      <c r="B213" s="34" t="s">
        <v>257</v>
      </c>
      <c r="C213" s="3" t="s">
        <v>258</v>
      </c>
      <c r="D213" s="3"/>
      <c r="E213" s="3"/>
      <c r="F213" s="3"/>
      <c r="G213" s="3" t="s">
        <v>259</v>
      </c>
      <c r="H213" s="3"/>
      <c r="I213" s="3"/>
      <c r="J213" s="3"/>
      <c r="K213" s="3" t="s">
        <v>260</v>
      </c>
      <c r="L213" s="3"/>
      <c r="M213" s="3"/>
      <c r="N213" s="3"/>
      <c r="O213" s="3" t="s">
        <v>261</v>
      </c>
      <c r="P213" s="3"/>
      <c r="Q213" s="3"/>
      <c r="R213" s="3" t="s">
        <v>262</v>
      </c>
      <c r="S213" s="3"/>
      <c r="T213" s="3" t="s">
        <v>263</v>
      </c>
      <c r="U213" s="3"/>
      <c r="V213" s="3" t="s">
        <v>264</v>
      </c>
      <c r="W213" s="3"/>
      <c r="X213" s="2" t="s">
        <v>265</v>
      </c>
      <c r="Y213" s="2"/>
    </row>
    <row r="214" spans="1:25" ht="48" customHeight="1" x14ac:dyDescent="0.2">
      <c r="A214" s="35">
        <v>1</v>
      </c>
      <c r="B214" s="36" t="s">
        <v>558</v>
      </c>
      <c r="C214" s="1" t="s">
        <v>559</v>
      </c>
      <c r="D214" s="1"/>
      <c r="E214" s="1"/>
      <c r="F214" s="1"/>
      <c r="G214" s="1" t="s">
        <v>299</v>
      </c>
      <c r="H214" s="1"/>
      <c r="I214" s="1"/>
      <c r="J214" s="1"/>
      <c r="K214" s="1" t="s">
        <v>89</v>
      </c>
      <c r="L214" s="1"/>
      <c r="M214" s="1"/>
      <c r="N214" s="1"/>
      <c r="O214" s="48" t="s">
        <v>269</v>
      </c>
      <c r="P214" s="48"/>
      <c r="Q214" s="48"/>
      <c r="R214" s="48" t="s">
        <v>270</v>
      </c>
      <c r="S214" s="48"/>
      <c r="T214" s="48"/>
      <c r="U214" s="48"/>
      <c r="V214" s="48"/>
      <c r="W214" s="48"/>
      <c r="X214" s="49" t="s">
        <v>637</v>
      </c>
      <c r="Y214" s="49"/>
    </row>
    <row r="215" spans="1:25" ht="48" customHeight="1" x14ac:dyDescent="0.2">
      <c r="A215" s="35">
        <v>2</v>
      </c>
      <c r="B215" s="36" t="s">
        <v>560</v>
      </c>
      <c r="C215" s="1" t="s">
        <v>561</v>
      </c>
      <c r="D215" s="1"/>
      <c r="E215" s="1"/>
      <c r="F215" s="1"/>
      <c r="G215" s="1" t="s">
        <v>334</v>
      </c>
      <c r="H215" s="1"/>
      <c r="I215" s="1"/>
      <c r="J215" s="1"/>
      <c r="K215" s="1" t="s">
        <v>89</v>
      </c>
      <c r="L215" s="1"/>
      <c r="M215" s="1"/>
      <c r="N215" s="1"/>
      <c r="O215" s="48" t="s">
        <v>269</v>
      </c>
      <c r="P215" s="48"/>
      <c r="Q215" s="48"/>
      <c r="R215" s="48"/>
      <c r="S215" s="48"/>
      <c r="T215" s="48" t="s">
        <v>270</v>
      </c>
      <c r="U215" s="48"/>
      <c r="V215" s="48"/>
      <c r="W215" s="48"/>
      <c r="X215" s="49" t="s">
        <v>562</v>
      </c>
      <c r="Y215" s="49"/>
    </row>
    <row r="216" spans="1:25" ht="48" customHeight="1" x14ac:dyDescent="0.2">
      <c r="A216" s="35">
        <v>3</v>
      </c>
      <c r="B216" s="36" t="s">
        <v>563</v>
      </c>
      <c r="C216" s="1" t="s">
        <v>564</v>
      </c>
      <c r="D216" s="1"/>
      <c r="E216" s="1"/>
      <c r="F216" s="1"/>
      <c r="G216" s="1" t="s">
        <v>334</v>
      </c>
      <c r="H216" s="1"/>
      <c r="I216" s="1"/>
      <c r="J216" s="1"/>
      <c r="K216" s="1" t="s">
        <v>89</v>
      </c>
      <c r="L216" s="1"/>
      <c r="M216" s="1"/>
      <c r="N216" s="1"/>
      <c r="O216" s="48" t="s">
        <v>269</v>
      </c>
      <c r="P216" s="48"/>
      <c r="Q216" s="48"/>
      <c r="R216" s="48"/>
      <c r="S216" s="48"/>
      <c r="T216" s="48" t="s">
        <v>270</v>
      </c>
      <c r="U216" s="48"/>
      <c r="V216" s="48"/>
      <c r="W216" s="48"/>
      <c r="X216" s="49" t="s">
        <v>335</v>
      </c>
      <c r="Y216" s="49"/>
    </row>
    <row r="217" spans="1:25" ht="48" customHeight="1" x14ac:dyDescent="0.2">
      <c r="A217" s="35">
        <v>4</v>
      </c>
      <c r="B217" s="36" t="s">
        <v>565</v>
      </c>
      <c r="C217" s="1" t="s">
        <v>566</v>
      </c>
      <c r="D217" s="1"/>
      <c r="E217" s="1"/>
      <c r="F217" s="1"/>
      <c r="G217" s="1" t="s">
        <v>281</v>
      </c>
      <c r="H217" s="1"/>
      <c r="I217" s="1"/>
      <c r="J217" s="1"/>
      <c r="K217" s="1" t="s">
        <v>282</v>
      </c>
      <c r="L217" s="1"/>
      <c r="M217" s="1"/>
      <c r="N217" s="1"/>
      <c r="O217" s="48" t="s">
        <v>269</v>
      </c>
      <c r="P217" s="48"/>
      <c r="Q217" s="48"/>
      <c r="R217" s="48"/>
      <c r="S217" s="48"/>
      <c r="T217" s="48"/>
      <c r="U217" s="48"/>
      <c r="V217" s="48"/>
      <c r="W217" s="48"/>
      <c r="X217" s="49"/>
      <c r="Y217" s="49"/>
    </row>
    <row r="218" spans="1:25" ht="69" customHeight="1" x14ac:dyDescent="0.2">
      <c r="A218" s="35">
        <v>5</v>
      </c>
      <c r="B218" s="36" t="s">
        <v>567</v>
      </c>
      <c r="C218" s="1" t="s">
        <v>568</v>
      </c>
      <c r="D218" s="1"/>
      <c r="E218" s="1"/>
      <c r="F218" s="1"/>
      <c r="G218" s="1" t="s">
        <v>57</v>
      </c>
      <c r="H218" s="1"/>
      <c r="I218" s="1"/>
      <c r="J218" s="1"/>
      <c r="K218" s="1" t="s">
        <v>59</v>
      </c>
      <c r="L218" s="1"/>
      <c r="M218" s="1"/>
      <c r="N218" s="1"/>
      <c r="O218" s="48" t="s">
        <v>283</v>
      </c>
      <c r="P218" s="48"/>
      <c r="Q218" s="48"/>
      <c r="R218" s="48"/>
      <c r="S218" s="48"/>
      <c r="T218" s="48"/>
      <c r="U218" s="48"/>
      <c r="V218" s="48"/>
      <c r="W218" s="48"/>
      <c r="X218" s="49"/>
      <c r="Y218" s="49"/>
    </row>
    <row r="219" spans="1:25" ht="90" customHeight="1" x14ac:dyDescent="0.2">
      <c r="A219" s="35">
        <v>6</v>
      </c>
      <c r="B219" s="36" t="s">
        <v>569</v>
      </c>
      <c r="C219" s="1" t="s">
        <v>570</v>
      </c>
      <c r="D219" s="1"/>
      <c r="E219" s="1"/>
      <c r="F219" s="1"/>
      <c r="G219" s="1" t="s">
        <v>571</v>
      </c>
      <c r="H219" s="1"/>
      <c r="I219" s="1"/>
      <c r="J219" s="1"/>
      <c r="K219" s="1" t="s">
        <v>119</v>
      </c>
      <c r="L219" s="1"/>
      <c r="M219" s="1"/>
      <c r="N219" s="1"/>
      <c r="O219" s="48" t="s">
        <v>269</v>
      </c>
      <c r="P219" s="48"/>
      <c r="Q219" s="48"/>
      <c r="R219" s="48"/>
      <c r="S219" s="48"/>
      <c r="T219" s="48"/>
      <c r="U219" s="48"/>
      <c r="V219" s="48"/>
      <c r="W219" s="48"/>
      <c r="X219" s="49" t="s">
        <v>572</v>
      </c>
      <c r="Y219" s="49"/>
    </row>
    <row r="220" spans="1:25" ht="48" customHeight="1" x14ac:dyDescent="0.2">
      <c r="A220" s="35">
        <v>7</v>
      </c>
      <c r="B220" s="36" t="s">
        <v>573</v>
      </c>
      <c r="C220" s="1" t="s">
        <v>574</v>
      </c>
      <c r="D220" s="1"/>
      <c r="E220" s="1"/>
      <c r="F220" s="1"/>
      <c r="G220" s="1" t="s">
        <v>87</v>
      </c>
      <c r="H220" s="1"/>
      <c r="I220" s="1"/>
      <c r="J220" s="1"/>
      <c r="K220" s="1" t="s">
        <v>89</v>
      </c>
      <c r="L220" s="1"/>
      <c r="M220" s="1"/>
      <c r="N220" s="1"/>
      <c r="O220" s="48" t="s">
        <v>269</v>
      </c>
      <c r="P220" s="48"/>
      <c r="Q220" s="48"/>
      <c r="R220" s="48"/>
      <c r="S220" s="48"/>
      <c r="T220" s="48"/>
      <c r="U220" s="48"/>
      <c r="V220" s="48"/>
      <c r="W220" s="48"/>
      <c r="X220" s="49" t="s">
        <v>332</v>
      </c>
      <c r="Y220" s="49"/>
    </row>
    <row r="221" spans="1:25" ht="48" customHeight="1" x14ac:dyDescent="0.2">
      <c r="A221" s="35">
        <v>8</v>
      </c>
      <c r="B221" s="36" t="s">
        <v>575</v>
      </c>
      <c r="C221" s="1" t="s">
        <v>576</v>
      </c>
      <c r="D221" s="1"/>
      <c r="E221" s="1"/>
      <c r="F221" s="1"/>
      <c r="G221" s="1" t="s">
        <v>87</v>
      </c>
      <c r="H221" s="1"/>
      <c r="I221" s="1"/>
      <c r="J221" s="1"/>
      <c r="K221" s="1" t="s">
        <v>89</v>
      </c>
      <c r="L221" s="1"/>
      <c r="M221" s="1"/>
      <c r="N221" s="1"/>
      <c r="O221" s="48" t="s">
        <v>283</v>
      </c>
      <c r="P221" s="48"/>
      <c r="Q221" s="48"/>
      <c r="R221" s="48"/>
      <c r="S221" s="48"/>
      <c r="T221" s="48"/>
      <c r="U221" s="48"/>
      <c r="V221" s="48"/>
      <c r="W221" s="48"/>
      <c r="X221" s="49" t="s">
        <v>577</v>
      </c>
      <c r="Y221" s="49"/>
    </row>
    <row r="222" spans="1:25" ht="24" customHeight="1" x14ac:dyDescent="0.2"/>
    <row r="223" spans="1:25" ht="54" customHeight="1" x14ac:dyDescent="0.2">
      <c r="A223" s="29">
        <f>'Invetario de Tablas'!A28</f>
        <v>25</v>
      </c>
      <c r="B223" s="30" t="s">
        <v>177</v>
      </c>
      <c r="C223" s="6" t="str">
        <f>'Invetario de Tablas'!B28</f>
        <v>notificacion</v>
      </c>
      <c r="D223" s="6"/>
      <c r="E223" s="6"/>
      <c r="F223" s="6"/>
      <c r="G223" s="5" t="s">
        <v>178</v>
      </c>
      <c r="H223" s="5"/>
      <c r="I223" s="5"/>
      <c r="J223" s="5"/>
      <c r="K223" s="4" t="str">
        <f>'Invetario de Tablas'!C28</f>
        <v>Avisos e historial de alertas recibidas por los usuarios.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31" t="s">
        <v>255</v>
      </c>
      <c r="Y223" s="32" t="s">
        <v>256</v>
      </c>
    </row>
    <row r="224" spans="1:25" ht="45" customHeight="1" x14ac:dyDescent="0.2">
      <c r="A224" s="33" t="s">
        <v>1</v>
      </c>
      <c r="B224" s="34" t="s">
        <v>257</v>
      </c>
      <c r="C224" s="3" t="s">
        <v>258</v>
      </c>
      <c r="D224" s="3"/>
      <c r="E224" s="3"/>
      <c r="F224" s="3"/>
      <c r="G224" s="3" t="s">
        <v>259</v>
      </c>
      <c r="H224" s="3"/>
      <c r="I224" s="3"/>
      <c r="J224" s="3"/>
      <c r="K224" s="3" t="s">
        <v>260</v>
      </c>
      <c r="L224" s="3"/>
      <c r="M224" s="3"/>
      <c r="N224" s="3"/>
      <c r="O224" s="3" t="s">
        <v>261</v>
      </c>
      <c r="P224" s="3"/>
      <c r="Q224" s="3"/>
      <c r="R224" s="3" t="s">
        <v>262</v>
      </c>
      <c r="S224" s="3"/>
      <c r="T224" s="3" t="s">
        <v>263</v>
      </c>
      <c r="U224" s="3"/>
      <c r="V224" s="3" t="s">
        <v>264</v>
      </c>
      <c r="W224" s="3"/>
      <c r="X224" s="2" t="s">
        <v>265</v>
      </c>
      <c r="Y224" s="2"/>
    </row>
    <row r="225" spans="1:25" ht="48" customHeight="1" x14ac:dyDescent="0.2">
      <c r="A225" s="35">
        <v>1</v>
      </c>
      <c r="B225" s="36" t="s">
        <v>297</v>
      </c>
      <c r="C225" s="1" t="s">
        <v>578</v>
      </c>
      <c r="D225" s="1"/>
      <c r="E225" s="1"/>
      <c r="F225" s="1"/>
      <c r="G225" s="1" t="s">
        <v>334</v>
      </c>
      <c r="H225" s="1"/>
      <c r="I225" s="1"/>
      <c r="J225" s="1"/>
      <c r="K225" s="1" t="s">
        <v>89</v>
      </c>
      <c r="L225" s="1"/>
      <c r="M225" s="1"/>
      <c r="N225" s="1"/>
      <c r="O225" s="48" t="s">
        <v>269</v>
      </c>
      <c r="P225" s="48"/>
      <c r="Q225" s="48"/>
      <c r="R225" s="48" t="s">
        <v>270</v>
      </c>
      <c r="S225" s="48"/>
      <c r="T225" s="48" t="s">
        <v>270</v>
      </c>
      <c r="U225" s="48"/>
      <c r="V225" s="48"/>
      <c r="W225" s="48"/>
      <c r="X225" s="49" t="s">
        <v>335</v>
      </c>
      <c r="Y225" s="49"/>
    </row>
    <row r="226" spans="1:25" ht="48" customHeight="1" x14ac:dyDescent="0.2">
      <c r="A226" s="35">
        <v>2</v>
      </c>
      <c r="B226" s="36" t="s">
        <v>579</v>
      </c>
      <c r="C226" s="1" t="s">
        <v>580</v>
      </c>
      <c r="D226" s="1"/>
      <c r="E226" s="1"/>
      <c r="F226" s="1"/>
      <c r="G226" s="1" t="s">
        <v>304</v>
      </c>
      <c r="H226" s="1"/>
      <c r="I226" s="1"/>
      <c r="J226" s="1"/>
      <c r="K226" s="1" t="s">
        <v>80</v>
      </c>
      <c r="L226" s="1"/>
      <c r="M226" s="1"/>
      <c r="N226" s="1"/>
      <c r="O226" s="48" t="s">
        <v>269</v>
      </c>
      <c r="P226" s="48"/>
      <c r="Q226" s="48"/>
      <c r="R226" s="48" t="s">
        <v>270</v>
      </c>
      <c r="S226" s="48"/>
      <c r="T226" s="48"/>
      <c r="U226" s="48"/>
      <c r="V226" s="48"/>
      <c r="W226" s="48"/>
      <c r="X226" s="49" t="s">
        <v>380</v>
      </c>
      <c r="Y226" s="49"/>
    </row>
    <row r="227" spans="1:25" ht="30" customHeight="1" x14ac:dyDescent="0.2">
      <c r="A227" s="35">
        <v>3</v>
      </c>
      <c r="B227" s="36" t="s">
        <v>581</v>
      </c>
      <c r="C227" s="1" t="s">
        <v>582</v>
      </c>
      <c r="D227" s="1"/>
      <c r="E227" s="1"/>
      <c r="F227" s="1"/>
      <c r="G227" s="1" t="s">
        <v>344</v>
      </c>
      <c r="H227" s="1"/>
      <c r="I227" s="1"/>
      <c r="J227" s="1"/>
      <c r="K227" s="1" t="s">
        <v>345</v>
      </c>
      <c r="L227" s="1"/>
      <c r="M227" s="1"/>
      <c r="N227" s="1"/>
      <c r="O227" s="48" t="s">
        <v>269</v>
      </c>
      <c r="P227" s="48"/>
      <c r="Q227" s="48"/>
      <c r="R227" s="48"/>
      <c r="S227" s="48"/>
      <c r="T227" s="48"/>
      <c r="U227" s="48"/>
      <c r="V227" s="48"/>
      <c r="W227" s="48"/>
      <c r="X227" s="49"/>
      <c r="Y227" s="49"/>
    </row>
    <row r="228" spans="1:25" ht="69" customHeight="1" x14ac:dyDescent="0.2">
      <c r="A228" s="35">
        <v>4</v>
      </c>
      <c r="B228" s="36" t="s">
        <v>583</v>
      </c>
      <c r="C228" s="1" t="s">
        <v>584</v>
      </c>
      <c r="D228" s="1"/>
      <c r="E228" s="1"/>
      <c r="F228" s="1"/>
      <c r="G228" s="1" t="s">
        <v>57</v>
      </c>
      <c r="H228" s="1"/>
      <c r="I228" s="1"/>
      <c r="J228" s="1"/>
      <c r="K228" s="1" t="s">
        <v>59</v>
      </c>
      <c r="L228" s="1"/>
      <c r="M228" s="1"/>
      <c r="N228" s="1"/>
      <c r="O228" s="48" t="s">
        <v>269</v>
      </c>
      <c r="P228" s="48"/>
      <c r="Q228" s="48"/>
      <c r="R228" s="48"/>
      <c r="S228" s="48"/>
      <c r="T228" s="48"/>
      <c r="U228" s="48"/>
      <c r="V228" s="48"/>
      <c r="W228" s="48"/>
      <c r="X228" s="49"/>
      <c r="Y228" s="49"/>
    </row>
    <row r="229" spans="1:25" ht="48" customHeight="1" x14ac:dyDescent="0.2">
      <c r="A229" s="35">
        <v>5</v>
      </c>
      <c r="B229" s="36" t="s">
        <v>585</v>
      </c>
      <c r="C229" s="1" t="s">
        <v>586</v>
      </c>
      <c r="D229" s="1"/>
      <c r="E229" s="1"/>
      <c r="F229" s="1"/>
      <c r="G229" s="1" t="s">
        <v>47</v>
      </c>
      <c r="H229" s="1"/>
      <c r="I229" s="1"/>
      <c r="J229" s="1"/>
      <c r="K229" s="1" t="s">
        <v>49</v>
      </c>
      <c r="L229" s="1"/>
      <c r="M229" s="1"/>
      <c r="N229" s="1"/>
      <c r="O229" s="48" t="s">
        <v>269</v>
      </c>
      <c r="P229" s="48"/>
      <c r="Q229" s="48"/>
      <c r="R229" s="48"/>
      <c r="S229" s="48"/>
      <c r="T229" s="48"/>
      <c r="U229" s="48"/>
      <c r="V229" s="48"/>
      <c r="W229" s="48"/>
      <c r="X229" s="49" t="s">
        <v>557</v>
      </c>
      <c r="Y229" s="49"/>
    </row>
    <row r="230" spans="1:25" ht="30" customHeight="1" x14ac:dyDescent="0.2">
      <c r="A230" s="35">
        <v>6</v>
      </c>
      <c r="B230" s="36" t="s">
        <v>587</v>
      </c>
      <c r="C230" s="1" t="s">
        <v>588</v>
      </c>
      <c r="D230" s="1"/>
      <c r="E230" s="1"/>
      <c r="F230" s="1"/>
      <c r="G230" s="1" t="s">
        <v>87</v>
      </c>
      <c r="H230" s="1"/>
      <c r="I230" s="1"/>
      <c r="J230" s="1"/>
      <c r="K230" s="1" t="s">
        <v>89</v>
      </c>
      <c r="L230" s="1"/>
      <c r="M230" s="1"/>
      <c r="N230" s="1"/>
      <c r="O230" s="48" t="s">
        <v>269</v>
      </c>
      <c r="P230" s="48"/>
      <c r="Q230" s="48"/>
      <c r="R230" s="48"/>
      <c r="S230" s="48"/>
      <c r="T230" s="48"/>
      <c r="U230" s="48"/>
      <c r="V230" s="48"/>
      <c r="W230" s="48"/>
      <c r="X230" s="49" t="s">
        <v>332</v>
      </c>
      <c r="Y230" s="49"/>
    </row>
    <row r="231" spans="1:25" ht="24" customHeight="1" x14ac:dyDescent="0.2"/>
    <row r="232" spans="1:25" ht="15.75" customHeight="1" x14ac:dyDescent="0.2"/>
    <row r="233" spans="1:25" ht="15.75" customHeight="1" x14ac:dyDescent="0.2"/>
    <row r="234" spans="1:25" ht="15.75" customHeight="1" x14ac:dyDescent="0.2"/>
    <row r="235" spans="1:25" ht="15.75" customHeight="1" x14ac:dyDescent="0.2"/>
    <row r="236" spans="1:25" ht="15.75" customHeight="1" x14ac:dyDescent="0.2"/>
    <row r="237" spans="1:25" ht="15.75" customHeight="1" x14ac:dyDescent="0.2"/>
    <row r="238" spans="1:25" ht="15.75" customHeight="1" x14ac:dyDescent="0.2"/>
    <row r="239" spans="1:25" ht="15.75" customHeight="1" x14ac:dyDescent="0.2"/>
    <row r="240" spans="1:25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</sheetData>
  <mergeCells count="1501">
    <mergeCell ref="C229:F229"/>
    <mergeCell ref="G229:J229"/>
    <mergeCell ref="K229:N229"/>
    <mergeCell ref="O229:Q229"/>
    <mergeCell ref="R229:S229"/>
    <mergeCell ref="T229:U229"/>
    <mergeCell ref="V229:W229"/>
    <mergeCell ref="X229:Y229"/>
    <mergeCell ref="C230:F230"/>
    <mergeCell ref="G230:J230"/>
    <mergeCell ref="K230:N230"/>
    <mergeCell ref="O230:Q230"/>
    <mergeCell ref="R230:S230"/>
    <mergeCell ref="T230:U230"/>
    <mergeCell ref="V230:W230"/>
    <mergeCell ref="X230:Y230"/>
    <mergeCell ref="C226:F226"/>
    <mergeCell ref="G226:J226"/>
    <mergeCell ref="K226:N226"/>
    <mergeCell ref="O226:Q226"/>
    <mergeCell ref="R226:S226"/>
    <mergeCell ref="T226:U226"/>
    <mergeCell ref="V226:W226"/>
    <mergeCell ref="X226:Y226"/>
    <mergeCell ref="C227:F227"/>
    <mergeCell ref="G227:J227"/>
    <mergeCell ref="K227:N227"/>
    <mergeCell ref="O227:Q227"/>
    <mergeCell ref="R227:S227"/>
    <mergeCell ref="T227:U227"/>
    <mergeCell ref="V227:W227"/>
    <mergeCell ref="X227:Y227"/>
    <mergeCell ref="C228:F228"/>
    <mergeCell ref="G228:J228"/>
    <mergeCell ref="K228:N228"/>
    <mergeCell ref="O228:Q228"/>
    <mergeCell ref="R228:S228"/>
    <mergeCell ref="T228:U228"/>
    <mergeCell ref="V228:W228"/>
    <mergeCell ref="X228:Y228"/>
    <mergeCell ref="C223:F223"/>
    <mergeCell ref="G223:J223"/>
    <mergeCell ref="K223:W223"/>
    <mergeCell ref="C224:F224"/>
    <mergeCell ref="G224:J224"/>
    <mergeCell ref="K224:N224"/>
    <mergeCell ref="O224:Q224"/>
    <mergeCell ref="R224:S224"/>
    <mergeCell ref="T224:U224"/>
    <mergeCell ref="V224:W224"/>
    <mergeCell ref="X224:Y224"/>
    <mergeCell ref="C225:F225"/>
    <mergeCell ref="G225:J225"/>
    <mergeCell ref="K225:N225"/>
    <mergeCell ref="O225:Q225"/>
    <mergeCell ref="R225:S225"/>
    <mergeCell ref="T225:U225"/>
    <mergeCell ref="V225:W225"/>
    <mergeCell ref="X225:Y225"/>
    <mergeCell ref="C219:F219"/>
    <mergeCell ref="G219:J219"/>
    <mergeCell ref="K219:N219"/>
    <mergeCell ref="O219:Q219"/>
    <mergeCell ref="R219:S219"/>
    <mergeCell ref="T219:U219"/>
    <mergeCell ref="V219:W219"/>
    <mergeCell ref="X219:Y219"/>
    <mergeCell ref="C220:F220"/>
    <mergeCell ref="G220:J220"/>
    <mergeCell ref="K220:N220"/>
    <mergeCell ref="O220:Q220"/>
    <mergeCell ref="R220:S220"/>
    <mergeCell ref="T220:U220"/>
    <mergeCell ref="V220:W220"/>
    <mergeCell ref="X220:Y220"/>
    <mergeCell ref="C221:F221"/>
    <mergeCell ref="G221:J221"/>
    <mergeCell ref="K221:N221"/>
    <mergeCell ref="O221:Q221"/>
    <mergeCell ref="R221:S221"/>
    <mergeCell ref="T221:U221"/>
    <mergeCell ref="V221:W221"/>
    <mergeCell ref="X221:Y221"/>
    <mergeCell ref="C216:F216"/>
    <mergeCell ref="G216:J216"/>
    <mergeCell ref="K216:N216"/>
    <mergeCell ref="O216:Q216"/>
    <mergeCell ref="R216:S216"/>
    <mergeCell ref="T216:U216"/>
    <mergeCell ref="V216:W216"/>
    <mergeCell ref="X216:Y216"/>
    <mergeCell ref="C217:F217"/>
    <mergeCell ref="G217:J217"/>
    <mergeCell ref="K217:N217"/>
    <mergeCell ref="O217:Q217"/>
    <mergeCell ref="R217:S217"/>
    <mergeCell ref="T217:U217"/>
    <mergeCell ref="V217:W217"/>
    <mergeCell ref="X217:Y217"/>
    <mergeCell ref="C218:F218"/>
    <mergeCell ref="G218:J218"/>
    <mergeCell ref="K218:N218"/>
    <mergeCell ref="O218:Q218"/>
    <mergeCell ref="R218:S218"/>
    <mergeCell ref="T218:U218"/>
    <mergeCell ref="V218:W218"/>
    <mergeCell ref="X218:Y218"/>
    <mergeCell ref="C213:F213"/>
    <mergeCell ref="G213:J213"/>
    <mergeCell ref="K213:N213"/>
    <mergeCell ref="O213:Q213"/>
    <mergeCell ref="R213:S213"/>
    <mergeCell ref="T213:U213"/>
    <mergeCell ref="V213:W213"/>
    <mergeCell ref="X213:Y213"/>
    <mergeCell ref="C214:F214"/>
    <mergeCell ref="G214:J214"/>
    <mergeCell ref="K214:N214"/>
    <mergeCell ref="O214:Q214"/>
    <mergeCell ref="R214:S214"/>
    <mergeCell ref="T214:U214"/>
    <mergeCell ref="V214:W214"/>
    <mergeCell ref="X214:Y214"/>
    <mergeCell ref="C215:F215"/>
    <mergeCell ref="G215:J215"/>
    <mergeCell ref="K215:N215"/>
    <mergeCell ref="O215:Q215"/>
    <mergeCell ref="R215:S215"/>
    <mergeCell ref="T215:U215"/>
    <mergeCell ref="V215:W215"/>
    <mergeCell ref="X215:Y215"/>
    <mergeCell ref="C209:F209"/>
    <mergeCell ref="G209:J209"/>
    <mergeCell ref="K209:N209"/>
    <mergeCell ref="O209:Q209"/>
    <mergeCell ref="R209:S209"/>
    <mergeCell ref="T209:U209"/>
    <mergeCell ref="V209:W209"/>
    <mergeCell ref="X209:Y209"/>
    <mergeCell ref="C210:F210"/>
    <mergeCell ref="G210:J210"/>
    <mergeCell ref="K210:N210"/>
    <mergeCell ref="O210:Q210"/>
    <mergeCell ref="R210:S210"/>
    <mergeCell ref="T210:U210"/>
    <mergeCell ref="V210:W210"/>
    <mergeCell ref="X210:Y210"/>
    <mergeCell ref="C212:F212"/>
    <mergeCell ref="G212:J212"/>
    <mergeCell ref="K212:W212"/>
    <mergeCell ref="C206:F206"/>
    <mergeCell ref="G206:J206"/>
    <mergeCell ref="K206:N206"/>
    <mergeCell ref="O206:Q206"/>
    <mergeCell ref="R206:S206"/>
    <mergeCell ref="T206:U206"/>
    <mergeCell ref="V206:W206"/>
    <mergeCell ref="X206:Y206"/>
    <mergeCell ref="C207:F207"/>
    <mergeCell ref="G207:J207"/>
    <mergeCell ref="K207:N207"/>
    <mergeCell ref="O207:Q207"/>
    <mergeCell ref="R207:S207"/>
    <mergeCell ref="T207:U207"/>
    <mergeCell ref="V207:W207"/>
    <mergeCell ref="X207:Y207"/>
    <mergeCell ref="C208:F208"/>
    <mergeCell ref="G208:J208"/>
    <mergeCell ref="K208:N208"/>
    <mergeCell ref="O208:Q208"/>
    <mergeCell ref="R208:S208"/>
    <mergeCell ref="T208:U208"/>
    <mergeCell ref="V208:W208"/>
    <mergeCell ref="X208:Y208"/>
    <mergeCell ref="C202:F202"/>
    <mergeCell ref="G202:J202"/>
    <mergeCell ref="K202:N202"/>
    <mergeCell ref="O202:Q202"/>
    <mergeCell ref="R202:S202"/>
    <mergeCell ref="T202:U202"/>
    <mergeCell ref="V202:W202"/>
    <mergeCell ref="X202:Y202"/>
    <mergeCell ref="C203:F203"/>
    <mergeCell ref="G203:J203"/>
    <mergeCell ref="K203:N203"/>
    <mergeCell ref="O203:Q203"/>
    <mergeCell ref="R203:S203"/>
    <mergeCell ref="T203:U203"/>
    <mergeCell ref="V203:W203"/>
    <mergeCell ref="X203:Y203"/>
    <mergeCell ref="C205:F205"/>
    <mergeCell ref="G205:J205"/>
    <mergeCell ref="K205:W205"/>
    <mergeCell ref="C199:F199"/>
    <mergeCell ref="G199:J199"/>
    <mergeCell ref="K199:N199"/>
    <mergeCell ref="O199:Q199"/>
    <mergeCell ref="R199:S199"/>
    <mergeCell ref="T199:U199"/>
    <mergeCell ref="V199:W199"/>
    <mergeCell ref="X199:Y199"/>
    <mergeCell ref="C200:F200"/>
    <mergeCell ref="G200:J200"/>
    <mergeCell ref="K200:N200"/>
    <mergeCell ref="O200:Q200"/>
    <mergeCell ref="R200:S200"/>
    <mergeCell ref="T200:U200"/>
    <mergeCell ref="V200:W200"/>
    <mergeCell ref="X200:Y200"/>
    <mergeCell ref="C201:F201"/>
    <mergeCell ref="G201:J201"/>
    <mergeCell ref="K201:N201"/>
    <mergeCell ref="O201:Q201"/>
    <mergeCell ref="R201:S201"/>
    <mergeCell ref="T201:U201"/>
    <mergeCell ref="V201:W201"/>
    <mergeCell ref="X201:Y201"/>
    <mergeCell ref="C196:F196"/>
    <mergeCell ref="G196:J196"/>
    <mergeCell ref="K196:N196"/>
    <mergeCell ref="O196:Q196"/>
    <mergeCell ref="R196:S196"/>
    <mergeCell ref="T196:U196"/>
    <mergeCell ref="V196:W196"/>
    <mergeCell ref="X196:Y196"/>
    <mergeCell ref="C197:F197"/>
    <mergeCell ref="G197:J197"/>
    <mergeCell ref="K197:N197"/>
    <mergeCell ref="O197:Q197"/>
    <mergeCell ref="R197:S197"/>
    <mergeCell ref="T197:U197"/>
    <mergeCell ref="V197:W197"/>
    <mergeCell ref="X197:Y197"/>
    <mergeCell ref="C198:F198"/>
    <mergeCell ref="G198:J198"/>
    <mergeCell ref="K198:N198"/>
    <mergeCell ref="O198:Q198"/>
    <mergeCell ref="R198:S198"/>
    <mergeCell ref="T198:U198"/>
    <mergeCell ref="V198:W198"/>
    <mergeCell ref="X198:Y198"/>
    <mergeCell ref="C193:F193"/>
    <mergeCell ref="G193:J193"/>
    <mergeCell ref="K193:W193"/>
    <mergeCell ref="C194:F194"/>
    <mergeCell ref="G194:J194"/>
    <mergeCell ref="K194:N194"/>
    <mergeCell ref="O194:Q194"/>
    <mergeCell ref="R194:S194"/>
    <mergeCell ref="T194:U194"/>
    <mergeCell ref="V194:W194"/>
    <mergeCell ref="X194:Y194"/>
    <mergeCell ref="C195:F195"/>
    <mergeCell ref="G195:J195"/>
    <mergeCell ref="K195:N195"/>
    <mergeCell ref="O195:Q195"/>
    <mergeCell ref="R195:S195"/>
    <mergeCell ref="T195:U195"/>
    <mergeCell ref="V195:W195"/>
    <mergeCell ref="X195:Y195"/>
    <mergeCell ref="C189:F189"/>
    <mergeCell ref="G189:J189"/>
    <mergeCell ref="K189:N189"/>
    <mergeCell ref="O189:Q189"/>
    <mergeCell ref="R189:S189"/>
    <mergeCell ref="T189:U189"/>
    <mergeCell ref="V189:W189"/>
    <mergeCell ref="X189:Y189"/>
    <mergeCell ref="C190:F190"/>
    <mergeCell ref="G190:J190"/>
    <mergeCell ref="K190:N190"/>
    <mergeCell ref="O190:Q190"/>
    <mergeCell ref="R190:S190"/>
    <mergeCell ref="T190:U190"/>
    <mergeCell ref="V190:W190"/>
    <mergeCell ref="X190:Y190"/>
    <mergeCell ref="C191:F191"/>
    <mergeCell ref="G191:J191"/>
    <mergeCell ref="K191:N191"/>
    <mergeCell ref="O191:Q191"/>
    <mergeCell ref="R191:S191"/>
    <mergeCell ref="T191:U191"/>
    <mergeCell ref="V191:W191"/>
    <mergeCell ref="X191:Y191"/>
    <mergeCell ref="C186:F186"/>
    <mergeCell ref="G186:J186"/>
    <mergeCell ref="K186:W186"/>
    <mergeCell ref="C187:F187"/>
    <mergeCell ref="G187:J187"/>
    <mergeCell ref="K187:N187"/>
    <mergeCell ref="O187:Q187"/>
    <mergeCell ref="R187:S187"/>
    <mergeCell ref="T187:U187"/>
    <mergeCell ref="V187:W187"/>
    <mergeCell ref="X187:Y187"/>
    <mergeCell ref="C188:F188"/>
    <mergeCell ref="G188:J188"/>
    <mergeCell ref="K188:N188"/>
    <mergeCell ref="O188:Q188"/>
    <mergeCell ref="R188:S188"/>
    <mergeCell ref="T188:U188"/>
    <mergeCell ref="V188:W188"/>
    <mergeCell ref="X188:Y188"/>
    <mergeCell ref="C182:F182"/>
    <mergeCell ref="G182:J182"/>
    <mergeCell ref="K182:N182"/>
    <mergeCell ref="O182:Q182"/>
    <mergeCell ref="R182:S182"/>
    <mergeCell ref="T182:U182"/>
    <mergeCell ref="V182:W182"/>
    <mergeCell ref="X182:Y182"/>
    <mergeCell ref="C183:F183"/>
    <mergeCell ref="G183:J183"/>
    <mergeCell ref="K183:N183"/>
    <mergeCell ref="O183:Q183"/>
    <mergeCell ref="R183:S183"/>
    <mergeCell ref="T183:U183"/>
    <mergeCell ref="V183:W183"/>
    <mergeCell ref="X183:Y183"/>
    <mergeCell ref="C184:F184"/>
    <mergeCell ref="G184:J184"/>
    <mergeCell ref="K184:N184"/>
    <mergeCell ref="O184:Q184"/>
    <mergeCell ref="R184:S184"/>
    <mergeCell ref="T184:U184"/>
    <mergeCell ref="V184:W184"/>
    <mergeCell ref="X184:Y184"/>
    <mergeCell ref="C179:F179"/>
    <mergeCell ref="G179:J179"/>
    <mergeCell ref="K179:N179"/>
    <mergeCell ref="O179:Q179"/>
    <mergeCell ref="R179:S179"/>
    <mergeCell ref="T179:U179"/>
    <mergeCell ref="V179:W179"/>
    <mergeCell ref="X179:Y179"/>
    <mergeCell ref="C180:F180"/>
    <mergeCell ref="G180:J180"/>
    <mergeCell ref="K180:N180"/>
    <mergeCell ref="O180:Q180"/>
    <mergeCell ref="R180:S180"/>
    <mergeCell ref="T180:U180"/>
    <mergeCell ref="V180:W180"/>
    <mergeCell ref="X180:Y180"/>
    <mergeCell ref="C181:F181"/>
    <mergeCell ref="G181:J181"/>
    <mergeCell ref="K181:N181"/>
    <mergeCell ref="O181:Q181"/>
    <mergeCell ref="R181:S181"/>
    <mergeCell ref="T181:U181"/>
    <mergeCell ref="V181:W181"/>
    <mergeCell ref="X181:Y181"/>
    <mergeCell ref="C175:F175"/>
    <mergeCell ref="G175:J175"/>
    <mergeCell ref="K175:N175"/>
    <mergeCell ref="O175:Q175"/>
    <mergeCell ref="R175:S175"/>
    <mergeCell ref="T175:U175"/>
    <mergeCell ref="V175:W175"/>
    <mergeCell ref="X175:Y175"/>
    <mergeCell ref="C177:F177"/>
    <mergeCell ref="G177:J177"/>
    <mergeCell ref="K177:W177"/>
    <mergeCell ref="C178:F178"/>
    <mergeCell ref="G178:J178"/>
    <mergeCell ref="K178:N178"/>
    <mergeCell ref="O178:Q178"/>
    <mergeCell ref="R178:S178"/>
    <mergeCell ref="T178:U178"/>
    <mergeCell ref="V178:W178"/>
    <mergeCell ref="X178:Y178"/>
    <mergeCell ref="C172:F172"/>
    <mergeCell ref="G172:J172"/>
    <mergeCell ref="K172:N172"/>
    <mergeCell ref="O172:Q172"/>
    <mergeCell ref="R172:S172"/>
    <mergeCell ref="T172:U172"/>
    <mergeCell ref="V172:W172"/>
    <mergeCell ref="X172:Y172"/>
    <mergeCell ref="C173:F173"/>
    <mergeCell ref="G173:J173"/>
    <mergeCell ref="K173:N173"/>
    <mergeCell ref="O173:Q173"/>
    <mergeCell ref="R173:S173"/>
    <mergeCell ref="T173:U173"/>
    <mergeCell ref="V173:W173"/>
    <mergeCell ref="X173:Y173"/>
    <mergeCell ref="C174:F174"/>
    <mergeCell ref="G174:J174"/>
    <mergeCell ref="K174:N174"/>
    <mergeCell ref="O174:Q174"/>
    <mergeCell ref="R174:S174"/>
    <mergeCell ref="T174:U174"/>
    <mergeCell ref="V174:W174"/>
    <mergeCell ref="X174:Y174"/>
    <mergeCell ref="C169:F169"/>
    <mergeCell ref="G169:J169"/>
    <mergeCell ref="K169:N169"/>
    <mergeCell ref="O169:Q169"/>
    <mergeCell ref="R169:S169"/>
    <mergeCell ref="T169:U169"/>
    <mergeCell ref="V169:W169"/>
    <mergeCell ref="X169:Y169"/>
    <mergeCell ref="C170:F170"/>
    <mergeCell ref="G170:J170"/>
    <mergeCell ref="K170:N170"/>
    <mergeCell ref="O170:Q170"/>
    <mergeCell ref="R170:S170"/>
    <mergeCell ref="T170:U170"/>
    <mergeCell ref="V170:W170"/>
    <mergeCell ref="X170:Y170"/>
    <mergeCell ref="C171:F171"/>
    <mergeCell ref="G171:J171"/>
    <mergeCell ref="K171:N171"/>
    <mergeCell ref="O171:Q171"/>
    <mergeCell ref="R171:S171"/>
    <mergeCell ref="T171:U171"/>
    <mergeCell ref="V171:W171"/>
    <mergeCell ref="X171:Y171"/>
    <mergeCell ref="C165:F165"/>
    <mergeCell ref="G165:J165"/>
    <mergeCell ref="K165:N165"/>
    <mergeCell ref="O165:Q165"/>
    <mergeCell ref="R165:S165"/>
    <mergeCell ref="T165:U165"/>
    <mergeCell ref="V165:W165"/>
    <mergeCell ref="X165:Y165"/>
    <mergeCell ref="C167:F167"/>
    <mergeCell ref="G167:J167"/>
    <mergeCell ref="K167:W167"/>
    <mergeCell ref="C168:F168"/>
    <mergeCell ref="G168:J168"/>
    <mergeCell ref="K168:N168"/>
    <mergeCell ref="O168:Q168"/>
    <mergeCell ref="R168:S168"/>
    <mergeCell ref="T168:U168"/>
    <mergeCell ref="V168:W168"/>
    <mergeCell ref="X168:Y168"/>
    <mergeCell ref="C162:F162"/>
    <mergeCell ref="G162:J162"/>
    <mergeCell ref="K162:N162"/>
    <mergeCell ref="O162:Q162"/>
    <mergeCell ref="R162:S162"/>
    <mergeCell ref="T162:U162"/>
    <mergeCell ref="V162:W162"/>
    <mergeCell ref="X162:Y162"/>
    <mergeCell ref="C163:F163"/>
    <mergeCell ref="G163:J163"/>
    <mergeCell ref="K163:N163"/>
    <mergeCell ref="O163:Q163"/>
    <mergeCell ref="R163:S163"/>
    <mergeCell ref="T163:U163"/>
    <mergeCell ref="V163:W163"/>
    <mergeCell ref="X163:Y163"/>
    <mergeCell ref="C164:F164"/>
    <mergeCell ref="G164:J164"/>
    <mergeCell ref="K164:N164"/>
    <mergeCell ref="O164:Q164"/>
    <mergeCell ref="R164:S164"/>
    <mergeCell ref="T164:U164"/>
    <mergeCell ref="V164:W164"/>
    <mergeCell ref="X164:Y164"/>
    <mergeCell ref="C159:F159"/>
    <mergeCell ref="G159:J159"/>
    <mergeCell ref="K159:W159"/>
    <mergeCell ref="C160:F160"/>
    <mergeCell ref="G160:J160"/>
    <mergeCell ref="K160:N160"/>
    <mergeCell ref="O160:Q160"/>
    <mergeCell ref="R160:S160"/>
    <mergeCell ref="T160:U160"/>
    <mergeCell ref="V160:W160"/>
    <mergeCell ref="X160:Y160"/>
    <mergeCell ref="C161:F161"/>
    <mergeCell ref="G161:J161"/>
    <mergeCell ref="K161:N161"/>
    <mergeCell ref="O161:Q161"/>
    <mergeCell ref="R161:S161"/>
    <mergeCell ref="T161:U161"/>
    <mergeCell ref="V161:W161"/>
    <mergeCell ref="X161:Y161"/>
    <mergeCell ref="C155:F155"/>
    <mergeCell ref="G155:J155"/>
    <mergeCell ref="K155:N155"/>
    <mergeCell ref="O155:Q155"/>
    <mergeCell ref="R155:S155"/>
    <mergeCell ref="T155:U155"/>
    <mergeCell ref="V155:W155"/>
    <mergeCell ref="X155:Y155"/>
    <mergeCell ref="C156:F156"/>
    <mergeCell ref="G156:J156"/>
    <mergeCell ref="K156:N156"/>
    <mergeCell ref="O156:Q156"/>
    <mergeCell ref="R156:S156"/>
    <mergeCell ref="T156:U156"/>
    <mergeCell ref="V156:W156"/>
    <mergeCell ref="X156:Y156"/>
    <mergeCell ref="C157:F157"/>
    <mergeCell ref="G157:J157"/>
    <mergeCell ref="K157:N157"/>
    <mergeCell ref="O157:Q157"/>
    <mergeCell ref="R157:S157"/>
    <mergeCell ref="T157:U157"/>
    <mergeCell ref="V157:W157"/>
    <mergeCell ref="X157:Y157"/>
    <mergeCell ref="C152:F152"/>
    <mergeCell ref="G152:J152"/>
    <mergeCell ref="K152:N152"/>
    <mergeCell ref="O152:Q152"/>
    <mergeCell ref="R152:S152"/>
    <mergeCell ref="T152:U152"/>
    <mergeCell ref="V152:W152"/>
    <mergeCell ref="X152:Y152"/>
    <mergeCell ref="C153:F153"/>
    <mergeCell ref="G153:J153"/>
    <mergeCell ref="K153:N153"/>
    <mergeCell ref="O153:Q153"/>
    <mergeCell ref="R153:S153"/>
    <mergeCell ref="T153:U153"/>
    <mergeCell ref="V153:W153"/>
    <mergeCell ref="X153:Y153"/>
    <mergeCell ref="C154:F154"/>
    <mergeCell ref="G154:J154"/>
    <mergeCell ref="K154:N154"/>
    <mergeCell ref="O154:Q154"/>
    <mergeCell ref="R154:S154"/>
    <mergeCell ref="T154:U154"/>
    <mergeCell ref="V154:W154"/>
    <mergeCell ref="X154:Y154"/>
    <mergeCell ref="C149:F149"/>
    <mergeCell ref="G149:J149"/>
    <mergeCell ref="K149:N149"/>
    <mergeCell ref="O149:Q149"/>
    <mergeCell ref="R149:S149"/>
    <mergeCell ref="T149:U149"/>
    <mergeCell ref="V149:W149"/>
    <mergeCell ref="X149:Y149"/>
    <mergeCell ref="C150:F150"/>
    <mergeCell ref="G150:J150"/>
    <mergeCell ref="K150:N150"/>
    <mergeCell ref="O150:Q150"/>
    <mergeCell ref="R150:S150"/>
    <mergeCell ref="T150:U150"/>
    <mergeCell ref="V150:W150"/>
    <mergeCell ref="X150:Y150"/>
    <mergeCell ref="C151:F151"/>
    <mergeCell ref="G151:J151"/>
    <mergeCell ref="K151:N151"/>
    <mergeCell ref="O151:Q151"/>
    <mergeCell ref="R151:S151"/>
    <mergeCell ref="T151:U151"/>
    <mergeCell ref="V151:W151"/>
    <mergeCell ref="X151:Y151"/>
    <mergeCell ref="C146:F146"/>
    <mergeCell ref="G146:J146"/>
    <mergeCell ref="K146:W146"/>
    <mergeCell ref="C147:F147"/>
    <mergeCell ref="G147:J147"/>
    <mergeCell ref="K147:N147"/>
    <mergeCell ref="O147:Q147"/>
    <mergeCell ref="R147:S147"/>
    <mergeCell ref="T147:U147"/>
    <mergeCell ref="V147:W147"/>
    <mergeCell ref="X147:Y147"/>
    <mergeCell ref="C148:F148"/>
    <mergeCell ref="G148:J148"/>
    <mergeCell ref="K148:N148"/>
    <mergeCell ref="O148:Q148"/>
    <mergeCell ref="R148:S148"/>
    <mergeCell ref="T148:U148"/>
    <mergeCell ref="V148:W148"/>
    <mergeCell ref="X148:Y148"/>
    <mergeCell ref="C142:F142"/>
    <mergeCell ref="G142:J142"/>
    <mergeCell ref="K142:N142"/>
    <mergeCell ref="O142:Q142"/>
    <mergeCell ref="R142:S142"/>
    <mergeCell ref="T142:U142"/>
    <mergeCell ref="V142:W142"/>
    <mergeCell ref="X142:Y142"/>
    <mergeCell ref="C143:F143"/>
    <mergeCell ref="G143:J143"/>
    <mergeCell ref="K143:N143"/>
    <mergeCell ref="O143:Q143"/>
    <mergeCell ref="R143:S143"/>
    <mergeCell ref="T143:U143"/>
    <mergeCell ref="V143:W143"/>
    <mergeCell ref="X143:Y143"/>
    <mergeCell ref="C144:F144"/>
    <mergeCell ref="G144:J144"/>
    <mergeCell ref="K144:N144"/>
    <mergeCell ref="O144:Q144"/>
    <mergeCell ref="R144:S144"/>
    <mergeCell ref="T144:U144"/>
    <mergeCell ref="V144:W144"/>
    <mergeCell ref="X144:Y144"/>
    <mergeCell ref="C139:F139"/>
    <mergeCell ref="G139:J139"/>
    <mergeCell ref="K139:W139"/>
    <mergeCell ref="C140:F140"/>
    <mergeCell ref="G140:J140"/>
    <mergeCell ref="K140:N140"/>
    <mergeCell ref="O140:Q140"/>
    <mergeCell ref="R140:S140"/>
    <mergeCell ref="T140:U140"/>
    <mergeCell ref="V140:W140"/>
    <mergeCell ref="X140:Y140"/>
    <mergeCell ref="C141:F141"/>
    <mergeCell ref="G141:J141"/>
    <mergeCell ref="K141:N141"/>
    <mergeCell ref="O141:Q141"/>
    <mergeCell ref="R141:S141"/>
    <mergeCell ref="T141:U141"/>
    <mergeCell ref="V141:W141"/>
    <mergeCell ref="X141:Y141"/>
    <mergeCell ref="C135:F135"/>
    <mergeCell ref="G135:J135"/>
    <mergeCell ref="K135:N135"/>
    <mergeCell ref="O135:Q135"/>
    <mergeCell ref="R135:S135"/>
    <mergeCell ref="T135:U135"/>
    <mergeCell ref="V135:W135"/>
    <mergeCell ref="X135:Y135"/>
    <mergeCell ref="C136:F136"/>
    <mergeCell ref="G136:J136"/>
    <mergeCell ref="K136:N136"/>
    <mergeCell ref="O136:Q136"/>
    <mergeCell ref="R136:S136"/>
    <mergeCell ref="T136:U136"/>
    <mergeCell ref="V136:W136"/>
    <mergeCell ref="X136:Y136"/>
    <mergeCell ref="C137:F137"/>
    <mergeCell ref="G137:J137"/>
    <mergeCell ref="K137:N137"/>
    <mergeCell ref="O137:Q137"/>
    <mergeCell ref="R137:S137"/>
    <mergeCell ref="T137:U137"/>
    <mergeCell ref="V137:W137"/>
    <mergeCell ref="X137:Y137"/>
    <mergeCell ref="C132:F132"/>
    <mergeCell ref="G132:J132"/>
    <mergeCell ref="K132:N132"/>
    <mergeCell ref="O132:Q132"/>
    <mergeCell ref="R132:S132"/>
    <mergeCell ref="T132:U132"/>
    <mergeCell ref="V132:W132"/>
    <mergeCell ref="X132:Y132"/>
    <mergeCell ref="C133:F133"/>
    <mergeCell ref="G133:J133"/>
    <mergeCell ref="K133:N133"/>
    <mergeCell ref="O133:Q133"/>
    <mergeCell ref="R133:S133"/>
    <mergeCell ref="T133:U133"/>
    <mergeCell ref="V133:W133"/>
    <mergeCell ref="X133:Y133"/>
    <mergeCell ref="C134:F134"/>
    <mergeCell ref="G134:J134"/>
    <mergeCell ref="K134:N134"/>
    <mergeCell ref="O134:Q134"/>
    <mergeCell ref="R134:S134"/>
    <mergeCell ref="T134:U134"/>
    <mergeCell ref="V134:W134"/>
    <mergeCell ref="X134:Y134"/>
    <mergeCell ref="C129:F129"/>
    <mergeCell ref="G129:J129"/>
    <mergeCell ref="K129:N129"/>
    <mergeCell ref="O129:Q129"/>
    <mergeCell ref="R129:S129"/>
    <mergeCell ref="T129:U129"/>
    <mergeCell ref="V129:W129"/>
    <mergeCell ref="X129:Y129"/>
    <mergeCell ref="C130:F130"/>
    <mergeCell ref="G130:J130"/>
    <mergeCell ref="K130:N130"/>
    <mergeCell ref="O130:Q130"/>
    <mergeCell ref="R130:S130"/>
    <mergeCell ref="T130:U130"/>
    <mergeCell ref="V130:W130"/>
    <mergeCell ref="X130:Y130"/>
    <mergeCell ref="C131:F131"/>
    <mergeCell ref="G131:J131"/>
    <mergeCell ref="K131:N131"/>
    <mergeCell ref="O131:Q131"/>
    <mergeCell ref="R131:S131"/>
    <mergeCell ref="T131:U131"/>
    <mergeCell ref="V131:W131"/>
    <mergeCell ref="X131:Y131"/>
    <mergeCell ref="C125:F125"/>
    <mergeCell ref="G125:J125"/>
    <mergeCell ref="K125:N125"/>
    <mergeCell ref="O125:Q125"/>
    <mergeCell ref="R125:S125"/>
    <mergeCell ref="T125:U125"/>
    <mergeCell ref="V125:W125"/>
    <mergeCell ref="X125:Y125"/>
    <mergeCell ref="C126:F126"/>
    <mergeCell ref="G126:J126"/>
    <mergeCell ref="K126:N126"/>
    <mergeCell ref="O126:Q126"/>
    <mergeCell ref="R126:S126"/>
    <mergeCell ref="T126:U126"/>
    <mergeCell ref="V126:W126"/>
    <mergeCell ref="X126:Y126"/>
    <mergeCell ref="C128:F128"/>
    <mergeCell ref="G128:J128"/>
    <mergeCell ref="K128:W128"/>
    <mergeCell ref="C122:F122"/>
    <mergeCell ref="G122:J122"/>
    <mergeCell ref="K122:N122"/>
    <mergeCell ref="O122:Q122"/>
    <mergeCell ref="R122:S122"/>
    <mergeCell ref="T122:U122"/>
    <mergeCell ref="V122:W122"/>
    <mergeCell ref="X122:Y122"/>
    <mergeCell ref="C123:F123"/>
    <mergeCell ref="G123:J123"/>
    <mergeCell ref="K123:N123"/>
    <mergeCell ref="O123:Q123"/>
    <mergeCell ref="R123:S123"/>
    <mergeCell ref="T123:U123"/>
    <mergeCell ref="V123:W123"/>
    <mergeCell ref="X123:Y123"/>
    <mergeCell ref="C124:F124"/>
    <mergeCell ref="G124:J124"/>
    <mergeCell ref="K124:N124"/>
    <mergeCell ref="O124:Q124"/>
    <mergeCell ref="R124:S124"/>
    <mergeCell ref="T124:U124"/>
    <mergeCell ref="V124:W124"/>
    <mergeCell ref="X124:Y124"/>
    <mergeCell ref="C118:F118"/>
    <mergeCell ref="G118:J118"/>
    <mergeCell ref="K118:N118"/>
    <mergeCell ref="O118:Q118"/>
    <mergeCell ref="R118:S118"/>
    <mergeCell ref="T118:U118"/>
    <mergeCell ref="V118:W118"/>
    <mergeCell ref="X118:Y118"/>
    <mergeCell ref="C119:F119"/>
    <mergeCell ref="G119:J119"/>
    <mergeCell ref="K119:N119"/>
    <mergeCell ref="O119:Q119"/>
    <mergeCell ref="R119:S119"/>
    <mergeCell ref="T119:U119"/>
    <mergeCell ref="V119:W119"/>
    <mergeCell ref="X119:Y119"/>
    <mergeCell ref="C121:F121"/>
    <mergeCell ref="G121:J121"/>
    <mergeCell ref="K121:W121"/>
    <mergeCell ref="C115:F115"/>
    <mergeCell ref="G115:J115"/>
    <mergeCell ref="K115:N115"/>
    <mergeCell ref="O115:Q115"/>
    <mergeCell ref="R115:S115"/>
    <mergeCell ref="T115:U115"/>
    <mergeCell ref="V115:W115"/>
    <mergeCell ref="X115:Y115"/>
    <mergeCell ref="C116:F116"/>
    <mergeCell ref="G116:J116"/>
    <mergeCell ref="K116:N116"/>
    <mergeCell ref="O116:Q116"/>
    <mergeCell ref="R116:S116"/>
    <mergeCell ref="T116:U116"/>
    <mergeCell ref="V116:W116"/>
    <mergeCell ref="X116:Y116"/>
    <mergeCell ref="C117:F117"/>
    <mergeCell ref="G117:J117"/>
    <mergeCell ref="K117:N117"/>
    <mergeCell ref="O117:Q117"/>
    <mergeCell ref="R117:S117"/>
    <mergeCell ref="T117:U117"/>
    <mergeCell ref="V117:W117"/>
    <mergeCell ref="X117:Y117"/>
    <mergeCell ref="C111:F111"/>
    <mergeCell ref="G111:J111"/>
    <mergeCell ref="K111:N111"/>
    <mergeCell ref="O111:Q111"/>
    <mergeCell ref="R111:S111"/>
    <mergeCell ref="T111:U111"/>
    <mergeCell ref="V111:W111"/>
    <mergeCell ref="X111:Y111"/>
    <mergeCell ref="C113:F113"/>
    <mergeCell ref="G113:J113"/>
    <mergeCell ref="K113:W113"/>
    <mergeCell ref="C114:F114"/>
    <mergeCell ref="G114:J114"/>
    <mergeCell ref="K114:N114"/>
    <mergeCell ref="O114:Q114"/>
    <mergeCell ref="R114:S114"/>
    <mergeCell ref="T114:U114"/>
    <mergeCell ref="V114:W114"/>
    <mergeCell ref="X114:Y114"/>
    <mergeCell ref="C108:F108"/>
    <mergeCell ref="G108:J108"/>
    <mergeCell ref="K108:N108"/>
    <mergeCell ref="O108:Q108"/>
    <mergeCell ref="R108:S108"/>
    <mergeCell ref="T108:U108"/>
    <mergeCell ref="V108:W108"/>
    <mergeCell ref="X108:Y108"/>
    <mergeCell ref="C109:F109"/>
    <mergeCell ref="G109:J109"/>
    <mergeCell ref="K109:N109"/>
    <mergeCell ref="O109:Q109"/>
    <mergeCell ref="R109:S109"/>
    <mergeCell ref="T109:U109"/>
    <mergeCell ref="V109:W109"/>
    <mergeCell ref="X109:Y109"/>
    <mergeCell ref="C110:F110"/>
    <mergeCell ref="G110:J110"/>
    <mergeCell ref="K110:N110"/>
    <mergeCell ref="O110:Q110"/>
    <mergeCell ref="R110:S110"/>
    <mergeCell ref="T110:U110"/>
    <mergeCell ref="V110:W110"/>
    <mergeCell ref="X110:Y110"/>
    <mergeCell ref="C105:F105"/>
    <mergeCell ref="G105:J105"/>
    <mergeCell ref="K105:N105"/>
    <mergeCell ref="O105:Q105"/>
    <mergeCell ref="R105:S105"/>
    <mergeCell ref="T105:U105"/>
    <mergeCell ref="V105:W105"/>
    <mergeCell ref="X105:Y105"/>
    <mergeCell ref="C106:F106"/>
    <mergeCell ref="G106:J106"/>
    <mergeCell ref="K106:N106"/>
    <mergeCell ref="O106:Q106"/>
    <mergeCell ref="R106:S106"/>
    <mergeCell ref="T106:U106"/>
    <mergeCell ref="V106:W106"/>
    <mergeCell ref="X106:Y106"/>
    <mergeCell ref="C107:F107"/>
    <mergeCell ref="G107:J107"/>
    <mergeCell ref="K107:N107"/>
    <mergeCell ref="O107:Q107"/>
    <mergeCell ref="R107:S107"/>
    <mergeCell ref="T107:U107"/>
    <mergeCell ref="V107:W107"/>
    <mergeCell ref="X107:Y107"/>
    <mergeCell ref="C102:F102"/>
    <mergeCell ref="G102:J102"/>
    <mergeCell ref="K102:W102"/>
    <mergeCell ref="C103:F103"/>
    <mergeCell ref="G103:J103"/>
    <mergeCell ref="K103:N103"/>
    <mergeCell ref="O103:Q103"/>
    <mergeCell ref="R103:S103"/>
    <mergeCell ref="T103:U103"/>
    <mergeCell ref="V103:W103"/>
    <mergeCell ref="X103:Y103"/>
    <mergeCell ref="C104:F104"/>
    <mergeCell ref="G104:J104"/>
    <mergeCell ref="K104:N104"/>
    <mergeCell ref="O104:Q104"/>
    <mergeCell ref="R104:S104"/>
    <mergeCell ref="T104:U104"/>
    <mergeCell ref="V104:W104"/>
    <mergeCell ref="X104:Y104"/>
    <mergeCell ref="C98:F98"/>
    <mergeCell ref="G98:J98"/>
    <mergeCell ref="K98:N98"/>
    <mergeCell ref="O98:Q98"/>
    <mergeCell ref="R98:S98"/>
    <mergeCell ref="T98:U98"/>
    <mergeCell ref="V98:W98"/>
    <mergeCell ref="X98:Y98"/>
    <mergeCell ref="C99:F99"/>
    <mergeCell ref="G99:J99"/>
    <mergeCell ref="K99:N99"/>
    <mergeCell ref="O99:Q99"/>
    <mergeCell ref="R99:S99"/>
    <mergeCell ref="T99:U99"/>
    <mergeCell ref="V99:W99"/>
    <mergeCell ref="X99:Y99"/>
    <mergeCell ref="C100:F100"/>
    <mergeCell ref="G100:J100"/>
    <mergeCell ref="K100:N100"/>
    <mergeCell ref="O100:Q100"/>
    <mergeCell ref="R100:S100"/>
    <mergeCell ref="T100:U100"/>
    <mergeCell ref="V100:W100"/>
    <mergeCell ref="X100:Y100"/>
    <mergeCell ref="C95:F95"/>
    <mergeCell ref="G95:J95"/>
    <mergeCell ref="K95:W95"/>
    <mergeCell ref="C96:F96"/>
    <mergeCell ref="G96:J96"/>
    <mergeCell ref="K96:N96"/>
    <mergeCell ref="O96:Q96"/>
    <mergeCell ref="R96:S96"/>
    <mergeCell ref="T96:U96"/>
    <mergeCell ref="V96:W96"/>
    <mergeCell ref="X96:Y96"/>
    <mergeCell ref="C97:F97"/>
    <mergeCell ref="G97:J97"/>
    <mergeCell ref="K97:N97"/>
    <mergeCell ref="O97:Q97"/>
    <mergeCell ref="R97:S97"/>
    <mergeCell ref="T97:U97"/>
    <mergeCell ref="V97:W97"/>
    <mergeCell ref="X97:Y97"/>
    <mergeCell ref="C91:F91"/>
    <mergeCell ref="G91:J91"/>
    <mergeCell ref="K91:N91"/>
    <mergeCell ref="O91:Q91"/>
    <mergeCell ref="R91:S91"/>
    <mergeCell ref="T91:U91"/>
    <mergeCell ref="V91:W91"/>
    <mergeCell ref="X91:Y91"/>
    <mergeCell ref="C92:F92"/>
    <mergeCell ref="G92:J92"/>
    <mergeCell ref="K92:N92"/>
    <mergeCell ref="O92:Q92"/>
    <mergeCell ref="R92:S92"/>
    <mergeCell ref="T92:U92"/>
    <mergeCell ref="V92:W92"/>
    <mergeCell ref="X92:Y92"/>
    <mergeCell ref="C93:F93"/>
    <mergeCell ref="G93:J93"/>
    <mergeCell ref="K93:N93"/>
    <mergeCell ref="O93:Q93"/>
    <mergeCell ref="R93:S93"/>
    <mergeCell ref="T93:U93"/>
    <mergeCell ref="V93:W93"/>
    <mergeCell ref="X93:Y93"/>
    <mergeCell ref="C88:F88"/>
    <mergeCell ref="G88:J88"/>
    <mergeCell ref="K88:N88"/>
    <mergeCell ref="O88:Q88"/>
    <mergeCell ref="R88:S88"/>
    <mergeCell ref="T88:U88"/>
    <mergeCell ref="V88:W88"/>
    <mergeCell ref="X88:Y88"/>
    <mergeCell ref="C89:F89"/>
    <mergeCell ref="G89:J89"/>
    <mergeCell ref="K89:N89"/>
    <mergeCell ref="O89:Q89"/>
    <mergeCell ref="R89:S89"/>
    <mergeCell ref="T89:U89"/>
    <mergeCell ref="V89:W89"/>
    <mergeCell ref="X89:Y89"/>
    <mergeCell ref="C90:F90"/>
    <mergeCell ref="G90:J90"/>
    <mergeCell ref="K90:N90"/>
    <mergeCell ref="O90:Q90"/>
    <mergeCell ref="R90:S90"/>
    <mergeCell ref="T90:U90"/>
    <mergeCell ref="V90:W90"/>
    <mergeCell ref="X90:Y90"/>
    <mergeCell ref="C84:F84"/>
    <mergeCell ref="G84:J84"/>
    <mergeCell ref="K84:N84"/>
    <mergeCell ref="O84:Q84"/>
    <mergeCell ref="R84:S84"/>
    <mergeCell ref="T84:U84"/>
    <mergeCell ref="V84:W84"/>
    <mergeCell ref="X84:Y84"/>
    <mergeCell ref="C86:F86"/>
    <mergeCell ref="G86:J86"/>
    <mergeCell ref="K86:W86"/>
    <mergeCell ref="C87:F87"/>
    <mergeCell ref="G87:J87"/>
    <mergeCell ref="K87:N87"/>
    <mergeCell ref="O87:Q87"/>
    <mergeCell ref="R87:S87"/>
    <mergeCell ref="T87:U87"/>
    <mergeCell ref="V87:W87"/>
    <mergeCell ref="X87:Y87"/>
    <mergeCell ref="C81:F81"/>
    <mergeCell ref="G81:J81"/>
    <mergeCell ref="K81:N81"/>
    <mergeCell ref="O81:Q81"/>
    <mergeCell ref="R81:S81"/>
    <mergeCell ref="T81:U81"/>
    <mergeCell ref="V81:W81"/>
    <mergeCell ref="X81:Y81"/>
    <mergeCell ref="C82:F82"/>
    <mergeCell ref="G82:J82"/>
    <mergeCell ref="K82:N82"/>
    <mergeCell ref="O82:Q82"/>
    <mergeCell ref="R82:S82"/>
    <mergeCell ref="T82:U82"/>
    <mergeCell ref="V82:W82"/>
    <mergeCell ref="X82:Y82"/>
    <mergeCell ref="C83:F83"/>
    <mergeCell ref="G83:J83"/>
    <mergeCell ref="K83:N83"/>
    <mergeCell ref="O83:Q83"/>
    <mergeCell ref="R83:S83"/>
    <mergeCell ref="T83:U83"/>
    <mergeCell ref="V83:W83"/>
    <mergeCell ref="X83:Y83"/>
    <mergeCell ref="C77:F77"/>
    <mergeCell ref="G77:J77"/>
    <mergeCell ref="K77:N77"/>
    <mergeCell ref="O77:Q77"/>
    <mergeCell ref="R77:S77"/>
    <mergeCell ref="T77:U77"/>
    <mergeCell ref="V77:W77"/>
    <mergeCell ref="X77:Y77"/>
    <mergeCell ref="C79:F79"/>
    <mergeCell ref="G79:J79"/>
    <mergeCell ref="K79:W79"/>
    <mergeCell ref="C80:F80"/>
    <mergeCell ref="G80:J80"/>
    <mergeCell ref="K80:N80"/>
    <mergeCell ref="O80:Q80"/>
    <mergeCell ref="R80:S80"/>
    <mergeCell ref="T80:U80"/>
    <mergeCell ref="V80:W80"/>
    <mergeCell ref="X80:Y80"/>
    <mergeCell ref="C74:F74"/>
    <mergeCell ref="G74:J74"/>
    <mergeCell ref="K74:N74"/>
    <mergeCell ref="O74:Q74"/>
    <mergeCell ref="R74:S74"/>
    <mergeCell ref="T74:U74"/>
    <mergeCell ref="V74:W74"/>
    <mergeCell ref="X74:Y74"/>
    <mergeCell ref="C75:F75"/>
    <mergeCell ref="G75:J75"/>
    <mergeCell ref="K75:N75"/>
    <mergeCell ref="O75:Q75"/>
    <mergeCell ref="R75:S75"/>
    <mergeCell ref="T75:U75"/>
    <mergeCell ref="V75:W75"/>
    <mergeCell ref="X75:Y75"/>
    <mergeCell ref="C76:F76"/>
    <mergeCell ref="G76:J76"/>
    <mergeCell ref="K76:N76"/>
    <mergeCell ref="O76:Q76"/>
    <mergeCell ref="R76:S76"/>
    <mergeCell ref="T76:U76"/>
    <mergeCell ref="V76:W76"/>
    <mergeCell ref="X76:Y76"/>
    <mergeCell ref="C71:F71"/>
    <mergeCell ref="G71:J71"/>
    <mergeCell ref="K71:W71"/>
    <mergeCell ref="C72:F72"/>
    <mergeCell ref="G72:J72"/>
    <mergeCell ref="K72:N72"/>
    <mergeCell ref="O72:Q72"/>
    <mergeCell ref="R72:S72"/>
    <mergeCell ref="T72:U72"/>
    <mergeCell ref="V72:W72"/>
    <mergeCell ref="X72:Y72"/>
    <mergeCell ref="C73:F73"/>
    <mergeCell ref="G73:J73"/>
    <mergeCell ref="K73:N73"/>
    <mergeCell ref="O73:Q73"/>
    <mergeCell ref="R73:S73"/>
    <mergeCell ref="T73:U73"/>
    <mergeCell ref="V73:W73"/>
    <mergeCell ref="X73:Y73"/>
    <mergeCell ref="C67:F67"/>
    <mergeCell ref="G67:J67"/>
    <mergeCell ref="K67:N67"/>
    <mergeCell ref="O67:Q67"/>
    <mergeCell ref="R67:S67"/>
    <mergeCell ref="T67:U67"/>
    <mergeCell ref="V67:W67"/>
    <mergeCell ref="X67:Y67"/>
    <mergeCell ref="C68:F68"/>
    <mergeCell ref="G68:J68"/>
    <mergeCell ref="K68:N68"/>
    <mergeCell ref="O68:Q68"/>
    <mergeCell ref="R68:S68"/>
    <mergeCell ref="T68:U68"/>
    <mergeCell ref="V68:W68"/>
    <mergeCell ref="X68:Y68"/>
    <mergeCell ref="C69:F69"/>
    <mergeCell ref="G69:J69"/>
    <mergeCell ref="K69:N69"/>
    <mergeCell ref="O69:Q69"/>
    <mergeCell ref="R69:S69"/>
    <mergeCell ref="T69:U69"/>
    <mergeCell ref="V69:W69"/>
    <mergeCell ref="X69:Y69"/>
    <mergeCell ref="C64:F64"/>
    <mergeCell ref="G64:J64"/>
    <mergeCell ref="K64:N64"/>
    <mergeCell ref="O64:Q64"/>
    <mergeCell ref="R64:S64"/>
    <mergeCell ref="T64:U64"/>
    <mergeCell ref="V64:W64"/>
    <mergeCell ref="X64:Y64"/>
    <mergeCell ref="C65:F65"/>
    <mergeCell ref="G65:J65"/>
    <mergeCell ref="K65:N65"/>
    <mergeCell ref="O65:Q65"/>
    <mergeCell ref="R65:S65"/>
    <mergeCell ref="T65:U65"/>
    <mergeCell ref="V65:W65"/>
    <mergeCell ref="X65:Y65"/>
    <mergeCell ref="C66:F66"/>
    <mergeCell ref="G66:J66"/>
    <mergeCell ref="K66:N66"/>
    <mergeCell ref="O66:Q66"/>
    <mergeCell ref="R66:S66"/>
    <mergeCell ref="T66:U66"/>
    <mergeCell ref="V66:W66"/>
    <mergeCell ref="X66:Y66"/>
    <mergeCell ref="C60:F60"/>
    <mergeCell ref="G60:J60"/>
    <mergeCell ref="K60:N60"/>
    <mergeCell ref="O60:Q60"/>
    <mergeCell ref="R60:S60"/>
    <mergeCell ref="T60:U60"/>
    <mergeCell ref="V60:W60"/>
    <mergeCell ref="X60:Y60"/>
    <mergeCell ref="C61:F61"/>
    <mergeCell ref="G61:J61"/>
    <mergeCell ref="K61:N61"/>
    <mergeCell ref="O61:Q61"/>
    <mergeCell ref="R61:S61"/>
    <mergeCell ref="T61:U61"/>
    <mergeCell ref="V61:W61"/>
    <mergeCell ref="X61:Y61"/>
    <mergeCell ref="C63:F63"/>
    <mergeCell ref="G63:J63"/>
    <mergeCell ref="K63:W63"/>
    <mergeCell ref="C57:F57"/>
    <mergeCell ref="G57:J57"/>
    <mergeCell ref="K57:N57"/>
    <mergeCell ref="O57:Q57"/>
    <mergeCell ref="R57:S57"/>
    <mergeCell ref="T57:U57"/>
    <mergeCell ref="V57:W57"/>
    <mergeCell ref="X57:Y57"/>
    <mergeCell ref="C58:F58"/>
    <mergeCell ref="G58:J58"/>
    <mergeCell ref="K58:N58"/>
    <mergeCell ref="O58:Q58"/>
    <mergeCell ref="R58:S58"/>
    <mergeCell ref="T58:U58"/>
    <mergeCell ref="V58:W58"/>
    <mergeCell ref="X58:Y58"/>
    <mergeCell ref="C59:F59"/>
    <mergeCell ref="G59:J59"/>
    <mergeCell ref="K59:N59"/>
    <mergeCell ref="O59:Q59"/>
    <mergeCell ref="R59:S59"/>
    <mergeCell ref="T59:U59"/>
    <mergeCell ref="V59:W59"/>
    <mergeCell ref="X59:Y59"/>
    <mergeCell ref="C54:F54"/>
    <mergeCell ref="G54:J54"/>
    <mergeCell ref="K54:N54"/>
    <mergeCell ref="O54:Q54"/>
    <mergeCell ref="R54:S54"/>
    <mergeCell ref="T54:U54"/>
    <mergeCell ref="V54:W54"/>
    <mergeCell ref="X54:Y54"/>
    <mergeCell ref="C55:F55"/>
    <mergeCell ref="G55:J55"/>
    <mergeCell ref="K55:N55"/>
    <mergeCell ref="O55:Q55"/>
    <mergeCell ref="R55:S55"/>
    <mergeCell ref="T55:U55"/>
    <mergeCell ref="V55:W55"/>
    <mergeCell ref="X55:Y55"/>
    <mergeCell ref="C56:F56"/>
    <mergeCell ref="G56:J56"/>
    <mergeCell ref="K56:N56"/>
    <mergeCell ref="O56:Q56"/>
    <mergeCell ref="R56:S56"/>
    <mergeCell ref="T56:U56"/>
    <mergeCell ref="V56:W56"/>
    <mergeCell ref="X56:Y56"/>
    <mergeCell ref="C50:F50"/>
    <mergeCell ref="G50:J50"/>
    <mergeCell ref="K50:N50"/>
    <mergeCell ref="O50:Q50"/>
    <mergeCell ref="R50:S50"/>
    <mergeCell ref="T50:U50"/>
    <mergeCell ref="V50:W50"/>
    <mergeCell ref="X50:Y50"/>
    <mergeCell ref="C52:F52"/>
    <mergeCell ref="G52:J52"/>
    <mergeCell ref="K52:W52"/>
    <mergeCell ref="C53:F53"/>
    <mergeCell ref="G53:J53"/>
    <mergeCell ref="K53:N53"/>
    <mergeCell ref="O53:Q53"/>
    <mergeCell ref="R53:S53"/>
    <mergeCell ref="T53:U53"/>
    <mergeCell ref="V53:W53"/>
    <mergeCell ref="X53:Y53"/>
    <mergeCell ref="C47:F47"/>
    <mergeCell ref="G47:J47"/>
    <mergeCell ref="K47:N47"/>
    <mergeCell ref="O47:Q47"/>
    <mergeCell ref="R47:S47"/>
    <mergeCell ref="T47:U47"/>
    <mergeCell ref="V47:W47"/>
    <mergeCell ref="X47:Y47"/>
    <mergeCell ref="C48:F48"/>
    <mergeCell ref="G48:J48"/>
    <mergeCell ref="K48:N48"/>
    <mergeCell ref="O48:Q48"/>
    <mergeCell ref="R48:S48"/>
    <mergeCell ref="T48:U48"/>
    <mergeCell ref="V48:W48"/>
    <mergeCell ref="X48:Y48"/>
    <mergeCell ref="C49:F49"/>
    <mergeCell ref="G49:J49"/>
    <mergeCell ref="K49:N49"/>
    <mergeCell ref="O49:Q49"/>
    <mergeCell ref="R49:S49"/>
    <mergeCell ref="T49:U49"/>
    <mergeCell ref="V49:W49"/>
    <mergeCell ref="X49:Y49"/>
    <mergeCell ref="C43:F43"/>
    <mergeCell ref="G43:J43"/>
    <mergeCell ref="K43:N43"/>
    <mergeCell ref="O43:Q43"/>
    <mergeCell ref="R43:S43"/>
    <mergeCell ref="T43:U43"/>
    <mergeCell ref="V43:W43"/>
    <mergeCell ref="X43:Y43"/>
    <mergeCell ref="C45:F45"/>
    <mergeCell ref="G45:J45"/>
    <mergeCell ref="K45:W45"/>
    <mergeCell ref="C46:F46"/>
    <mergeCell ref="G46:J46"/>
    <mergeCell ref="K46:N46"/>
    <mergeCell ref="O46:Q46"/>
    <mergeCell ref="R46:S46"/>
    <mergeCell ref="T46:U46"/>
    <mergeCell ref="V46:W46"/>
    <mergeCell ref="X46:Y46"/>
    <mergeCell ref="C40:F40"/>
    <mergeCell ref="G40:J40"/>
    <mergeCell ref="K40:N40"/>
    <mergeCell ref="O40:Q40"/>
    <mergeCell ref="R40:S40"/>
    <mergeCell ref="T40:U40"/>
    <mergeCell ref="V40:W40"/>
    <mergeCell ref="X40:Y40"/>
    <mergeCell ref="C41:F41"/>
    <mergeCell ref="G41:J41"/>
    <mergeCell ref="K41:N41"/>
    <mergeCell ref="O41:Q41"/>
    <mergeCell ref="R41:S41"/>
    <mergeCell ref="T41:U41"/>
    <mergeCell ref="V41:W41"/>
    <mergeCell ref="X41:Y41"/>
    <mergeCell ref="C42:F42"/>
    <mergeCell ref="G42:J42"/>
    <mergeCell ref="K42:N42"/>
    <mergeCell ref="O42:Q42"/>
    <mergeCell ref="R42:S42"/>
    <mergeCell ref="T42:U42"/>
    <mergeCell ref="V42:W42"/>
    <mergeCell ref="X42:Y42"/>
    <mergeCell ref="C37:F37"/>
    <mergeCell ref="G37:J37"/>
    <mergeCell ref="K37:N37"/>
    <mergeCell ref="O37:Q37"/>
    <mergeCell ref="R37:S37"/>
    <mergeCell ref="T37:U37"/>
    <mergeCell ref="V37:W37"/>
    <mergeCell ref="X37:Y37"/>
    <mergeCell ref="C38:F38"/>
    <mergeCell ref="G38:J38"/>
    <mergeCell ref="K38:N38"/>
    <mergeCell ref="O38:Q38"/>
    <mergeCell ref="R38:S38"/>
    <mergeCell ref="T38:U38"/>
    <mergeCell ref="V38:W38"/>
    <mergeCell ref="X38:Y38"/>
    <mergeCell ref="C39:F39"/>
    <mergeCell ref="G39:J39"/>
    <mergeCell ref="K39:N39"/>
    <mergeCell ref="O39:Q39"/>
    <mergeCell ref="R39:S39"/>
    <mergeCell ref="T39:U39"/>
    <mergeCell ref="V39:W39"/>
    <mergeCell ref="X39:Y39"/>
    <mergeCell ref="C33:F33"/>
    <mergeCell ref="G33:J33"/>
    <mergeCell ref="K33:N33"/>
    <mergeCell ref="O33:Q33"/>
    <mergeCell ref="R33:S33"/>
    <mergeCell ref="T33:U33"/>
    <mergeCell ref="V33:W33"/>
    <mergeCell ref="X33:Y33"/>
    <mergeCell ref="C35:F35"/>
    <mergeCell ref="G35:J35"/>
    <mergeCell ref="K35:W35"/>
    <mergeCell ref="C36:F36"/>
    <mergeCell ref="G36:J36"/>
    <mergeCell ref="K36:N36"/>
    <mergeCell ref="O36:Q36"/>
    <mergeCell ref="R36:S36"/>
    <mergeCell ref="T36:U36"/>
    <mergeCell ref="V36:W36"/>
    <mergeCell ref="X36:Y36"/>
    <mergeCell ref="C30:F30"/>
    <mergeCell ref="G30:J30"/>
    <mergeCell ref="K30:N30"/>
    <mergeCell ref="O30:Q30"/>
    <mergeCell ref="R30:S30"/>
    <mergeCell ref="T30:U30"/>
    <mergeCell ref="V30:W30"/>
    <mergeCell ref="X30:Y30"/>
    <mergeCell ref="C31:F31"/>
    <mergeCell ref="G31:J31"/>
    <mergeCell ref="K31:N31"/>
    <mergeCell ref="O31:Q31"/>
    <mergeCell ref="R31:S31"/>
    <mergeCell ref="T31:U31"/>
    <mergeCell ref="V31:W31"/>
    <mergeCell ref="X31:Y31"/>
    <mergeCell ref="C32:F32"/>
    <mergeCell ref="G32:J32"/>
    <mergeCell ref="K32:N32"/>
    <mergeCell ref="O32:Q32"/>
    <mergeCell ref="R32:S32"/>
    <mergeCell ref="T32:U32"/>
    <mergeCell ref="V32:W32"/>
    <mergeCell ref="X32:Y32"/>
    <mergeCell ref="C27:F27"/>
    <mergeCell ref="G27:J27"/>
    <mergeCell ref="K27:N27"/>
    <mergeCell ref="O27:Q27"/>
    <mergeCell ref="R27:S27"/>
    <mergeCell ref="T27:U27"/>
    <mergeCell ref="V27:W27"/>
    <mergeCell ref="X27:Y27"/>
    <mergeCell ref="C28:F28"/>
    <mergeCell ref="G28:J28"/>
    <mergeCell ref="K28:N28"/>
    <mergeCell ref="O28:Q28"/>
    <mergeCell ref="R28:S28"/>
    <mergeCell ref="T28:U28"/>
    <mergeCell ref="V28:W28"/>
    <mergeCell ref="X28:Y28"/>
    <mergeCell ref="C29:F29"/>
    <mergeCell ref="G29:J29"/>
    <mergeCell ref="K29:N29"/>
    <mergeCell ref="O29:Q29"/>
    <mergeCell ref="R29:S29"/>
    <mergeCell ref="T29:U29"/>
    <mergeCell ref="V29:W29"/>
    <mergeCell ref="X29:Y29"/>
    <mergeCell ref="C24:F24"/>
    <mergeCell ref="G24:J24"/>
    <mergeCell ref="K24:N24"/>
    <mergeCell ref="O24:Q24"/>
    <mergeCell ref="R24:S24"/>
    <mergeCell ref="T24:U24"/>
    <mergeCell ref="V24:W24"/>
    <mergeCell ref="X24:Y24"/>
    <mergeCell ref="C25:F25"/>
    <mergeCell ref="G25:J25"/>
    <mergeCell ref="K25:N25"/>
    <mergeCell ref="O25:Q25"/>
    <mergeCell ref="R25:S25"/>
    <mergeCell ref="T25:U25"/>
    <mergeCell ref="V25:W25"/>
    <mergeCell ref="X25:Y25"/>
    <mergeCell ref="C26:F26"/>
    <mergeCell ref="G26:J26"/>
    <mergeCell ref="K26:N26"/>
    <mergeCell ref="O26:Q26"/>
    <mergeCell ref="R26:S26"/>
    <mergeCell ref="T26:U26"/>
    <mergeCell ref="V26:W26"/>
    <mergeCell ref="X26:Y26"/>
    <mergeCell ref="C21:F21"/>
    <mergeCell ref="G21:J21"/>
    <mergeCell ref="K21:N21"/>
    <mergeCell ref="O21:Q21"/>
    <mergeCell ref="R21:S21"/>
    <mergeCell ref="T21:U21"/>
    <mergeCell ref="V21:W21"/>
    <mergeCell ref="X21:Y21"/>
    <mergeCell ref="C22:F22"/>
    <mergeCell ref="G22:J22"/>
    <mergeCell ref="K22:N22"/>
    <mergeCell ref="O22:Q22"/>
    <mergeCell ref="R22:S22"/>
    <mergeCell ref="T22:U22"/>
    <mergeCell ref="V22:W22"/>
    <mergeCell ref="X22:Y22"/>
    <mergeCell ref="C23:F23"/>
    <mergeCell ref="G23:J23"/>
    <mergeCell ref="K23:N23"/>
    <mergeCell ref="O23:Q23"/>
    <mergeCell ref="R23:S23"/>
    <mergeCell ref="T23:U23"/>
    <mergeCell ref="V23:W23"/>
    <mergeCell ref="X23:Y23"/>
    <mergeCell ref="C17:F17"/>
    <mergeCell ref="G17:J17"/>
    <mergeCell ref="K17:N17"/>
    <mergeCell ref="O17:Q17"/>
    <mergeCell ref="R17:S17"/>
    <mergeCell ref="T17:U17"/>
    <mergeCell ref="V17:W17"/>
    <mergeCell ref="X17:Y17"/>
    <mergeCell ref="C18:F18"/>
    <mergeCell ref="G18:J18"/>
    <mergeCell ref="K18:N18"/>
    <mergeCell ref="O18:Q18"/>
    <mergeCell ref="R18:S18"/>
    <mergeCell ref="T18:U18"/>
    <mergeCell ref="V18:W18"/>
    <mergeCell ref="X18:Y18"/>
    <mergeCell ref="C20:F20"/>
    <mergeCell ref="G20:J20"/>
    <mergeCell ref="K20:W20"/>
    <mergeCell ref="C14:F14"/>
    <mergeCell ref="G14:J14"/>
    <mergeCell ref="K14:N14"/>
    <mergeCell ref="O14:Q14"/>
    <mergeCell ref="R14:S14"/>
    <mergeCell ref="T14:U14"/>
    <mergeCell ref="V14:W14"/>
    <mergeCell ref="X14:Y14"/>
    <mergeCell ref="C15:F15"/>
    <mergeCell ref="G15:J15"/>
    <mergeCell ref="K15:N15"/>
    <mergeCell ref="O15:Q15"/>
    <mergeCell ref="R15:S15"/>
    <mergeCell ref="T15:U15"/>
    <mergeCell ref="V15:W15"/>
    <mergeCell ref="X15:Y15"/>
    <mergeCell ref="C16:F16"/>
    <mergeCell ref="G16:J16"/>
    <mergeCell ref="K16:N16"/>
    <mergeCell ref="O16:Q16"/>
    <mergeCell ref="R16:S16"/>
    <mergeCell ref="T16:U16"/>
    <mergeCell ref="V16:W16"/>
    <mergeCell ref="X16:Y16"/>
    <mergeCell ref="C9:F9"/>
    <mergeCell ref="G9:J9"/>
    <mergeCell ref="K9:N9"/>
    <mergeCell ref="O9:Q9"/>
    <mergeCell ref="R9:S9"/>
    <mergeCell ref="T9:U9"/>
    <mergeCell ref="V9:W9"/>
    <mergeCell ref="X9:Y9"/>
    <mergeCell ref="A10:Y10"/>
    <mergeCell ref="C12:F12"/>
    <mergeCell ref="G12:J12"/>
    <mergeCell ref="K12:W12"/>
    <mergeCell ref="C13:F13"/>
    <mergeCell ref="G13:J13"/>
    <mergeCell ref="K13:N13"/>
    <mergeCell ref="O13:Q13"/>
    <mergeCell ref="R13:S13"/>
    <mergeCell ref="T13:U13"/>
    <mergeCell ref="V13:W13"/>
    <mergeCell ref="X13:Y13"/>
    <mergeCell ref="C6:F6"/>
    <mergeCell ref="G6:J6"/>
    <mergeCell ref="K6:N6"/>
    <mergeCell ref="O6:Q6"/>
    <mergeCell ref="R6:S6"/>
    <mergeCell ref="T6:U6"/>
    <mergeCell ref="V6:W6"/>
    <mergeCell ref="X6:Y6"/>
    <mergeCell ref="C7:F7"/>
    <mergeCell ref="G7:J7"/>
    <mergeCell ref="K7:N7"/>
    <mergeCell ref="O7:Q7"/>
    <mergeCell ref="R7:S7"/>
    <mergeCell ref="T7:U7"/>
    <mergeCell ref="V7:W7"/>
    <mergeCell ref="X7:Y7"/>
    <mergeCell ref="C8:F8"/>
    <mergeCell ref="G8:J8"/>
    <mergeCell ref="K8:N8"/>
    <mergeCell ref="O8:Q8"/>
    <mergeCell ref="R8:S8"/>
    <mergeCell ref="T8:U8"/>
    <mergeCell ref="V8:W8"/>
    <mergeCell ref="X8:Y8"/>
    <mergeCell ref="A1:Y1"/>
    <mergeCell ref="C3:F3"/>
    <mergeCell ref="G3:J3"/>
    <mergeCell ref="K3:W3"/>
    <mergeCell ref="C4:F4"/>
    <mergeCell ref="G4:J4"/>
    <mergeCell ref="K4:N4"/>
    <mergeCell ref="O4:Q4"/>
    <mergeCell ref="R4:S4"/>
    <mergeCell ref="T4:U4"/>
    <mergeCell ref="V4:W4"/>
    <mergeCell ref="X4:Y4"/>
    <mergeCell ref="C5:F5"/>
    <mergeCell ref="G5:J5"/>
    <mergeCell ref="K5:N5"/>
    <mergeCell ref="O5:Q5"/>
    <mergeCell ref="R5:S5"/>
    <mergeCell ref="T5:U5"/>
    <mergeCell ref="V5:W5"/>
    <mergeCell ref="X5:Y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971"/>
  <sheetViews>
    <sheetView topLeftCell="A203" zoomScale="55" zoomScaleNormal="55" workbookViewId="0">
      <selection activeCell="X214" sqref="X214:Y214"/>
    </sheetView>
  </sheetViews>
  <sheetFormatPr baseColWidth="10" defaultColWidth="12.5703125" defaultRowHeight="12.75" x14ac:dyDescent="0.2"/>
  <cols>
    <col min="1" max="1" width="5.5703125" customWidth="1"/>
    <col min="2" max="2" width="29.7109375" customWidth="1"/>
    <col min="3" max="3" width="32.140625" customWidth="1"/>
    <col min="4" max="9" width="3.85546875" customWidth="1"/>
    <col min="10" max="10" width="23.42578125" customWidth="1"/>
    <col min="11" max="22" width="3.85546875" customWidth="1"/>
    <col min="23" max="23" width="4.5703125" customWidth="1"/>
    <col min="24" max="24" width="17" customWidth="1"/>
    <col min="25" max="25" width="30.42578125" customWidth="1"/>
  </cols>
  <sheetData>
    <row r="1" spans="1:25" ht="39" customHeight="1" x14ac:dyDescent="0.2">
      <c r="A1" s="51" t="s">
        <v>589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 spans="1:25" ht="28.5" customHeight="1" x14ac:dyDescent="0.2"/>
    <row r="3" spans="1:25" ht="54" customHeight="1" x14ac:dyDescent="0.2">
      <c r="A3" s="37">
        <f>'Invetario de Tablas'!A4</f>
        <v>1</v>
      </c>
      <c r="B3" s="38" t="s">
        <v>177</v>
      </c>
      <c r="C3" s="52" t="str">
        <f>'Invetario de Tablas'!B4</f>
        <v>rol</v>
      </c>
      <c r="D3" s="52"/>
      <c r="E3" s="52"/>
      <c r="F3" s="52"/>
      <c r="G3" s="53" t="s">
        <v>178</v>
      </c>
      <c r="H3" s="53"/>
      <c r="I3" s="53"/>
      <c r="J3" s="53"/>
      <c r="K3" s="54" t="str">
        <f>'Invetario de Tablas'!C4</f>
        <v>Catálogo de roles del sistema (administrador, auxiliar, miembro, visitante).</v>
      </c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39" t="s">
        <v>255</v>
      </c>
      <c r="Y3" s="32" t="s">
        <v>590</v>
      </c>
    </row>
    <row r="4" spans="1:25" ht="45" customHeight="1" x14ac:dyDescent="0.2">
      <c r="A4" s="40" t="s">
        <v>1</v>
      </c>
      <c r="B4" s="41" t="s">
        <v>257</v>
      </c>
      <c r="C4" s="55" t="s">
        <v>258</v>
      </c>
      <c r="D4" s="55"/>
      <c r="E4" s="55"/>
      <c r="F4" s="55"/>
      <c r="G4" s="56" t="s">
        <v>591</v>
      </c>
      <c r="H4" s="56"/>
      <c r="I4" s="56"/>
      <c r="J4" s="56"/>
      <c r="K4" s="55" t="s">
        <v>260</v>
      </c>
      <c r="L4" s="55"/>
      <c r="M4" s="55"/>
      <c r="N4" s="55"/>
      <c r="O4" s="55" t="s">
        <v>261</v>
      </c>
      <c r="P4" s="55"/>
      <c r="Q4" s="55"/>
      <c r="R4" s="55" t="s">
        <v>262</v>
      </c>
      <c r="S4" s="55"/>
      <c r="T4" s="55" t="s">
        <v>263</v>
      </c>
      <c r="U4" s="55"/>
      <c r="V4" s="55" t="s">
        <v>264</v>
      </c>
      <c r="W4" s="55"/>
      <c r="X4" s="57" t="s">
        <v>265</v>
      </c>
      <c r="Y4" s="57"/>
    </row>
    <row r="5" spans="1:25" ht="30" customHeight="1" x14ac:dyDescent="0.2">
      <c r="A5" s="42">
        <v>1</v>
      </c>
      <c r="B5" s="43" t="s">
        <v>266</v>
      </c>
      <c r="C5" s="58" t="s">
        <v>267</v>
      </c>
      <c r="D5" s="58"/>
      <c r="E5" s="58"/>
      <c r="F5" s="58"/>
      <c r="G5" s="58" t="s">
        <v>592</v>
      </c>
      <c r="H5" s="58"/>
      <c r="I5" s="58"/>
      <c r="J5" s="58"/>
      <c r="K5" s="58" t="s">
        <v>80</v>
      </c>
      <c r="L5" s="58"/>
      <c r="M5" s="58"/>
      <c r="N5" s="58"/>
      <c r="O5" s="59" t="s">
        <v>269</v>
      </c>
      <c r="P5" s="59"/>
      <c r="Q5" s="59"/>
      <c r="R5" s="59" t="s">
        <v>270</v>
      </c>
      <c r="S5" s="59"/>
      <c r="T5" s="59"/>
      <c r="U5" s="59"/>
      <c r="V5" s="59"/>
      <c r="W5" s="59"/>
      <c r="X5" s="49" t="s">
        <v>637</v>
      </c>
      <c r="Y5" s="49"/>
    </row>
    <row r="6" spans="1:25" ht="69" customHeight="1" x14ac:dyDescent="0.2">
      <c r="A6" s="42">
        <v>2</v>
      </c>
      <c r="B6" s="43" t="s">
        <v>272</v>
      </c>
      <c r="C6" s="58" t="s">
        <v>273</v>
      </c>
      <c r="D6" s="58"/>
      <c r="E6" s="58"/>
      <c r="F6" s="58"/>
      <c r="G6" s="58" t="s">
        <v>274</v>
      </c>
      <c r="H6" s="58"/>
      <c r="I6" s="58"/>
      <c r="J6" s="58"/>
      <c r="K6" s="58" t="s">
        <v>275</v>
      </c>
      <c r="L6" s="58"/>
      <c r="M6" s="58"/>
      <c r="N6" s="58"/>
      <c r="O6" s="59" t="s">
        <v>269</v>
      </c>
      <c r="P6" s="59"/>
      <c r="Q6" s="59"/>
      <c r="R6" s="59"/>
      <c r="S6" s="59"/>
      <c r="T6" s="59"/>
      <c r="U6" s="59"/>
      <c r="V6" s="59" t="s">
        <v>270</v>
      </c>
      <c r="W6" s="59"/>
      <c r="X6" s="58"/>
      <c r="Y6" s="58"/>
    </row>
    <row r="7" spans="1:25" ht="48" customHeight="1" x14ac:dyDescent="0.2">
      <c r="A7" s="42">
        <v>3</v>
      </c>
      <c r="B7" s="43" t="s">
        <v>276</v>
      </c>
      <c r="C7" s="58" t="s">
        <v>277</v>
      </c>
      <c r="D7" s="58"/>
      <c r="E7" s="58"/>
      <c r="F7" s="58"/>
      <c r="G7" s="58" t="s">
        <v>278</v>
      </c>
      <c r="H7" s="58"/>
      <c r="I7" s="58"/>
      <c r="J7" s="58"/>
      <c r="K7" s="58" t="s">
        <v>593</v>
      </c>
      <c r="L7" s="58"/>
      <c r="M7" s="58"/>
      <c r="N7" s="58"/>
      <c r="O7" s="59" t="s">
        <v>269</v>
      </c>
      <c r="P7" s="59"/>
      <c r="Q7" s="59"/>
      <c r="R7" s="59"/>
      <c r="S7" s="59"/>
      <c r="T7" s="59"/>
      <c r="U7" s="59"/>
      <c r="V7" s="59" t="s">
        <v>270</v>
      </c>
      <c r="W7" s="59"/>
      <c r="X7" s="58"/>
      <c r="Y7" s="58"/>
    </row>
    <row r="8" spans="1:25" ht="48" customHeight="1" x14ac:dyDescent="0.2">
      <c r="A8" s="42">
        <v>4</v>
      </c>
      <c r="B8" s="43" t="s">
        <v>279</v>
      </c>
      <c r="C8" s="58" t="s">
        <v>280</v>
      </c>
      <c r="D8" s="58"/>
      <c r="E8" s="58"/>
      <c r="F8" s="58"/>
      <c r="G8" s="58" t="s">
        <v>281</v>
      </c>
      <c r="H8" s="58"/>
      <c r="I8" s="58"/>
      <c r="J8" s="58"/>
      <c r="K8" s="58" t="s">
        <v>282</v>
      </c>
      <c r="L8" s="58"/>
      <c r="M8" s="58"/>
      <c r="N8" s="58"/>
      <c r="O8" s="59" t="s">
        <v>283</v>
      </c>
      <c r="P8" s="59"/>
      <c r="Q8" s="59"/>
      <c r="R8" s="59"/>
      <c r="S8" s="59"/>
      <c r="T8" s="59"/>
      <c r="U8" s="59"/>
      <c r="V8" s="59"/>
      <c r="W8" s="59"/>
      <c r="X8" s="58"/>
      <c r="Y8" s="58"/>
    </row>
    <row r="9" spans="1:25" ht="48" customHeight="1" x14ac:dyDescent="0.2">
      <c r="A9" s="42">
        <v>5</v>
      </c>
      <c r="B9" s="43" t="s">
        <v>284</v>
      </c>
      <c r="C9" s="58" t="s">
        <v>285</v>
      </c>
      <c r="D9" s="58"/>
      <c r="E9" s="58"/>
      <c r="F9" s="58"/>
      <c r="G9" s="58" t="s">
        <v>47</v>
      </c>
      <c r="H9" s="58"/>
      <c r="I9" s="58"/>
      <c r="J9" s="58"/>
      <c r="K9" s="58" t="s">
        <v>49</v>
      </c>
      <c r="L9" s="58"/>
      <c r="M9" s="58"/>
      <c r="N9" s="58"/>
      <c r="O9" s="59" t="s">
        <v>269</v>
      </c>
      <c r="P9" s="59"/>
      <c r="Q9" s="59"/>
      <c r="R9" s="59"/>
      <c r="S9" s="59"/>
      <c r="T9" s="59"/>
      <c r="U9" s="59"/>
      <c r="V9" s="59"/>
      <c r="W9" s="59"/>
      <c r="X9" s="58" t="s">
        <v>286</v>
      </c>
      <c r="Y9" s="58"/>
    </row>
    <row r="10" spans="1:25" ht="39.75" customHeight="1" x14ac:dyDescent="0.2">
      <c r="A10" s="60" t="s">
        <v>287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</row>
    <row r="11" spans="1:25" ht="24" customHeight="1" x14ac:dyDescent="0.2"/>
    <row r="12" spans="1:25" ht="54" customHeight="1" x14ac:dyDescent="0.2">
      <c r="A12" s="37">
        <f>'Invetario de Tablas'!A5</f>
        <v>2</v>
      </c>
      <c r="B12" s="38" t="s">
        <v>177</v>
      </c>
      <c r="C12" s="52" t="str">
        <f>'Invetario de Tablas'!B5</f>
        <v>tipo_usuario</v>
      </c>
      <c r="D12" s="52"/>
      <c r="E12" s="52"/>
      <c r="F12" s="52"/>
      <c r="G12" s="53" t="s">
        <v>178</v>
      </c>
      <c r="H12" s="53"/>
      <c r="I12" s="53"/>
      <c r="J12" s="53"/>
      <c r="K12" s="54" t="str">
        <f>'Invetario de Tablas'!C5</f>
        <v>Clasificación de usuarios (estudiante, docente, empleado, empresario).</v>
      </c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39" t="s">
        <v>255</v>
      </c>
      <c r="Y12" s="32" t="s">
        <v>590</v>
      </c>
    </row>
    <row r="13" spans="1:25" ht="45" customHeight="1" x14ac:dyDescent="0.2">
      <c r="A13" s="40" t="s">
        <v>1</v>
      </c>
      <c r="B13" s="41" t="s">
        <v>257</v>
      </c>
      <c r="C13" s="55" t="s">
        <v>258</v>
      </c>
      <c r="D13" s="55"/>
      <c r="E13" s="55"/>
      <c r="F13" s="55"/>
      <c r="G13" s="56" t="s">
        <v>591</v>
      </c>
      <c r="H13" s="56"/>
      <c r="I13" s="56"/>
      <c r="J13" s="56"/>
      <c r="K13" s="55" t="s">
        <v>260</v>
      </c>
      <c r="L13" s="55"/>
      <c r="M13" s="55"/>
      <c r="N13" s="55"/>
      <c r="O13" s="55" t="s">
        <v>261</v>
      </c>
      <c r="P13" s="55"/>
      <c r="Q13" s="55"/>
      <c r="R13" s="55" t="s">
        <v>262</v>
      </c>
      <c r="S13" s="55"/>
      <c r="T13" s="55" t="s">
        <v>263</v>
      </c>
      <c r="U13" s="55"/>
      <c r="V13" s="55" t="s">
        <v>264</v>
      </c>
      <c r="W13" s="55"/>
      <c r="X13" s="57" t="s">
        <v>265</v>
      </c>
      <c r="Y13" s="57"/>
    </row>
    <row r="14" spans="1:25" ht="48" customHeight="1" x14ac:dyDescent="0.2">
      <c r="A14" s="42">
        <v>1</v>
      </c>
      <c r="B14" s="43" t="s">
        <v>288</v>
      </c>
      <c r="C14" s="58" t="s">
        <v>289</v>
      </c>
      <c r="D14" s="58"/>
      <c r="E14" s="58"/>
      <c r="F14" s="58"/>
      <c r="G14" s="58" t="s">
        <v>592</v>
      </c>
      <c r="H14" s="58"/>
      <c r="I14" s="58"/>
      <c r="J14" s="58"/>
      <c r="K14" s="58" t="s">
        <v>80</v>
      </c>
      <c r="L14" s="58"/>
      <c r="M14" s="58"/>
      <c r="N14" s="58"/>
      <c r="O14" s="59" t="s">
        <v>269</v>
      </c>
      <c r="P14" s="59"/>
      <c r="Q14" s="59"/>
      <c r="R14" s="59" t="s">
        <v>270</v>
      </c>
      <c r="S14" s="59"/>
      <c r="T14" s="59"/>
      <c r="U14" s="59"/>
      <c r="V14" s="59"/>
      <c r="W14" s="59"/>
      <c r="X14" s="49" t="s">
        <v>637</v>
      </c>
      <c r="Y14" s="49"/>
    </row>
    <row r="15" spans="1:25" ht="69" customHeight="1" x14ac:dyDescent="0.2">
      <c r="A15" s="42">
        <v>2</v>
      </c>
      <c r="B15" s="43" t="s">
        <v>290</v>
      </c>
      <c r="C15" s="58" t="s">
        <v>291</v>
      </c>
      <c r="D15" s="58"/>
      <c r="E15" s="58"/>
      <c r="F15" s="58"/>
      <c r="G15" s="58" t="s">
        <v>274</v>
      </c>
      <c r="H15" s="58"/>
      <c r="I15" s="58"/>
      <c r="J15" s="58"/>
      <c r="K15" s="58" t="s">
        <v>275</v>
      </c>
      <c r="L15" s="58"/>
      <c r="M15" s="58"/>
      <c r="N15" s="58"/>
      <c r="O15" s="59" t="s">
        <v>269</v>
      </c>
      <c r="P15" s="59"/>
      <c r="Q15" s="59"/>
      <c r="R15" s="59"/>
      <c r="S15" s="59"/>
      <c r="T15" s="59"/>
      <c r="U15" s="59"/>
      <c r="V15" s="59" t="s">
        <v>270</v>
      </c>
      <c r="W15" s="59"/>
      <c r="X15" s="58"/>
      <c r="Y15" s="58"/>
    </row>
    <row r="16" spans="1:25" ht="48" customHeight="1" x14ac:dyDescent="0.2">
      <c r="A16" s="42">
        <v>3</v>
      </c>
      <c r="B16" s="43" t="s">
        <v>292</v>
      </c>
      <c r="C16" s="58" t="s">
        <v>293</v>
      </c>
      <c r="D16" s="58"/>
      <c r="E16" s="58"/>
      <c r="F16" s="58"/>
      <c r="G16" s="58" t="s">
        <v>278</v>
      </c>
      <c r="H16" s="58"/>
      <c r="I16" s="58"/>
      <c r="J16" s="58"/>
      <c r="K16" s="58" t="s">
        <v>593</v>
      </c>
      <c r="L16" s="58"/>
      <c r="M16" s="58"/>
      <c r="N16" s="58"/>
      <c r="O16" s="59" t="s">
        <v>269</v>
      </c>
      <c r="P16" s="59"/>
      <c r="Q16" s="59"/>
      <c r="R16" s="59"/>
      <c r="S16" s="59"/>
      <c r="T16" s="59"/>
      <c r="U16" s="59"/>
      <c r="V16" s="59" t="s">
        <v>270</v>
      </c>
      <c r="W16" s="59"/>
      <c r="X16" s="58"/>
      <c r="Y16" s="58"/>
    </row>
    <row r="17" spans="1:25" ht="48" customHeight="1" x14ac:dyDescent="0.2">
      <c r="A17" s="42">
        <v>4</v>
      </c>
      <c r="B17" s="43" t="s">
        <v>294</v>
      </c>
      <c r="C17" s="58" t="s">
        <v>295</v>
      </c>
      <c r="D17" s="58"/>
      <c r="E17" s="58"/>
      <c r="F17" s="58"/>
      <c r="G17" s="58" t="s">
        <v>281</v>
      </c>
      <c r="H17" s="58"/>
      <c r="I17" s="58"/>
      <c r="J17" s="58"/>
      <c r="K17" s="58" t="s">
        <v>282</v>
      </c>
      <c r="L17" s="58"/>
      <c r="M17" s="58"/>
      <c r="N17" s="58"/>
      <c r="O17" s="59" t="s">
        <v>283</v>
      </c>
      <c r="P17" s="59"/>
      <c r="Q17" s="59"/>
      <c r="R17" s="59"/>
      <c r="S17" s="59"/>
      <c r="T17" s="59"/>
      <c r="U17" s="59"/>
      <c r="V17" s="59"/>
      <c r="W17" s="59"/>
      <c r="X17" s="58"/>
      <c r="Y17" s="58"/>
    </row>
    <row r="18" spans="1:25" ht="48" customHeight="1" x14ac:dyDescent="0.2">
      <c r="A18" s="42">
        <v>5</v>
      </c>
      <c r="B18" s="43" t="s">
        <v>284</v>
      </c>
      <c r="C18" s="58" t="s">
        <v>296</v>
      </c>
      <c r="D18" s="58"/>
      <c r="E18" s="58"/>
      <c r="F18" s="58"/>
      <c r="G18" s="58" t="s">
        <v>47</v>
      </c>
      <c r="H18" s="58"/>
      <c r="I18" s="58"/>
      <c r="J18" s="58"/>
      <c r="K18" s="58" t="s">
        <v>49</v>
      </c>
      <c r="L18" s="58"/>
      <c r="M18" s="58"/>
      <c r="N18" s="58"/>
      <c r="O18" s="59" t="s">
        <v>269</v>
      </c>
      <c r="P18" s="59"/>
      <c r="Q18" s="59"/>
      <c r="R18" s="59"/>
      <c r="S18" s="59"/>
      <c r="T18" s="59"/>
      <c r="U18" s="59"/>
      <c r="V18" s="59"/>
      <c r="W18" s="59"/>
      <c r="X18" s="58" t="s">
        <v>286</v>
      </c>
      <c r="Y18" s="58"/>
    </row>
    <row r="19" spans="1:25" ht="24" customHeight="1" x14ac:dyDescent="0.2"/>
    <row r="20" spans="1:25" ht="54" customHeight="1" x14ac:dyDescent="0.2">
      <c r="A20" s="37">
        <f>'Invetario de Tablas'!A6</f>
        <v>3</v>
      </c>
      <c r="B20" s="38" t="s">
        <v>177</v>
      </c>
      <c r="C20" s="52" t="str">
        <f>'Invetario de Tablas'!B6</f>
        <v>usuario</v>
      </c>
      <c r="D20" s="52"/>
      <c r="E20" s="52"/>
      <c r="F20" s="52"/>
      <c r="G20" s="53" t="s">
        <v>178</v>
      </c>
      <c r="H20" s="53"/>
      <c r="I20" s="53"/>
      <c r="J20" s="53"/>
      <c r="K20" s="54" t="str">
        <f>'Invetario de Tablas'!C6</f>
        <v>Registro central de personas en la red social universitaria.</v>
      </c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39" t="s">
        <v>255</v>
      </c>
      <c r="Y20" s="32" t="s">
        <v>590</v>
      </c>
    </row>
    <row r="21" spans="1:25" ht="45" customHeight="1" x14ac:dyDescent="0.2">
      <c r="A21" s="40" t="s">
        <v>1</v>
      </c>
      <c r="B21" s="41" t="s">
        <v>257</v>
      </c>
      <c r="C21" s="55" t="s">
        <v>258</v>
      </c>
      <c r="D21" s="55"/>
      <c r="E21" s="55"/>
      <c r="F21" s="55"/>
      <c r="G21" s="56" t="s">
        <v>591</v>
      </c>
      <c r="H21" s="56"/>
      <c r="I21" s="56"/>
      <c r="J21" s="56"/>
      <c r="K21" s="55" t="s">
        <v>260</v>
      </c>
      <c r="L21" s="55"/>
      <c r="M21" s="55"/>
      <c r="N21" s="55"/>
      <c r="O21" s="55" t="s">
        <v>261</v>
      </c>
      <c r="P21" s="55"/>
      <c r="Q21" s="55"/>
      <c r="R21" s="55" t="s">
        <v>262</v>
      </c>
      <c r="S21" s="55"/>
      <c r="T21" s="55" t="s">
        <v>263</v>
      </c>
      <c r="U21" s="55"/>
      <c r="V21" s="55" t="s">
        <v>264</v>
      </c>
      <c r="W21" s="55"/>
      <c r="X21" s="57" t="s">
        <v>265</v>
      </c>
      <c r="Y21" s="57"/>
    </row>
    <row r="22" spans="1:25" ht="48" customHeight="1" x14ac:dyDescent="0.2">
      <c r="A22" s="42">
        <v>1</v>
      </c>
      <c r="B22" s="43" t="s">
        <v>297</v>
      </c>
      <c r="C22" s="58" t="s">
        <v>298</v>
      </c>
      <c r="D22" s="58"/>
      <c r="E22" s="58"/>
      <c r="F22" s="58"/>
      <c r="G22" s="58" t="s">
        <v>594</v>
      </c>
      <c r="H22" s="58"/>
      <c r="I22" s="58"/>
      <c r="J22" s="58"/>
      <c r="K22" s="58" t="s">
        <v>89</v>
      </c>
      <c r="L22" s="58"/>
      <c r="M22" s="58"/>
      <c r="N22" s="58"/>
      <c r="O22" s="59" t="s">
        <v>269</v>
      </c>
      <c r="P22" s="59"/>
      <c r="Q22" s="59"/>
      <c r="R22" s="59" t="s">
        <v>270</v>
      </c>
      <c r="S22" s="59"/>
      <c r="T22" s="59"/>
      <c r="U22" s="59"/>
      <c r="V22" s="59"/>
      <c r="W22" s="59"/>
      <c r="X22" s="49" t="s">
        <v>637</v>
      </c>
      <c r="Y22" s="49"/>
    </row>
    <row r="23" spans="1:25" ht="69" customHeight="1" x14ac:dyDescent="0.2">
      <c r="A23" s="42">
        <v>2</v>
      </c>
      <c r="B23" s="43" t="s">
        <v>300</v>
      </c>
      <c r="C23" s="58" t="s">
        <v>301</v>
      </c>
      <c r="D23" s="58"/>
      <c r="E23" s="58"/>
      <c r="F23" s="58"/>
      <c r="G23" s="58" t="s">
        <v>595</v>
      </c>
      <c r="H23" s="58"/>
      <c r="I23" s="58"/>
      <c r="J23" s="58"/>
      <c r="K23" s="58" t="s">
        <v>596</v>
      </c>
      <c r="L23" s="58"/>
      <c r="M23" s="58"/>
      <c r="N23" s="58"/>
      <c r="O23" s="59" t="s">
        <v>269</v>
      </c>
      <c r="P23" s="59"/>
      <c r="Q23" s="59"/>
      <c r="R23" s="59"/>
      <c r="S23" s="59"/>
      <c r="T23" s="59"/>
      <c r="U23" s="59"/>
      <c r="V23" s="59" t="s">
        <v>270</v>
      </c>
      <c r="W23" s="59"/>
      <c r="X23" s="58" t="s">
        <v>597</v>
      </c>
      <c r="Y23" s="58"/>
    </row>
    <row r="24" spans="1:25" ht="30" customHeight="1" x14ac:dyDescent="0.2">
      <c r="A24" s="42">
        <v>3</v>
      </c>
      <c r="B24" s="43" t="s">
        <v>266</v>
      </c>
      <c r="C24" s="58" t="s">
        <v>303</v>
      </c>
      <c r="D24" s="58"/>
      <c r="E24" s="58"/>
      <c r="F24" s="58"/>
      <c r="G24" s="58" t="s">
        <v>598</v>
      </c>
      <c r="H24" s="58"/>
      <c r="I24" s="58"/>
      <c r="J24" s="58"/>
      <c r="K24" s="58" t="s">
        <v>80</v>
      </c>
      <c r="L24" s="58"/>
      <c r="M24" s="58"/>
      <c r="N24" s="58"/>
      <c r="O24" s="59" t="s">
        <v>269</v>
      </c>
      <c r="P24" s="59"/>
      <c r="Q24" s="59"/>
      <c r="R24" s="59"/>
      <c r="S24" s="59"/>
      <c r="T24" s="59" t="s">
        <v>270</v>
      </c>
      <c r="U24" s="59"/>
      <c r="V24" s="59"/>
      <c r="W24" s="59"/>
      <c r="X24" s="58" t="s">
        <v>305</v>
      </c>
      <c r="Y24" s="58"/>
    </row>
    <row r="25" spans="1:25" ht="48" customHeight="1" x14ac:dyDescent="0.2">
      <c r="A25" s="42">
        <v>4</v>
      </c>
      <c r="B25" s="43" t="s">
        <v>288</v>
      </c>
      <c r="C25" s="58" t="s">
        <v>306</v>
      </c>
      <c r="D25" s="58"/>
      <c r="E25" s="58"/>
      <c r="F25" s="58"/>
      <c r="G25" s="58" t="s">
        <v>598</v>
      </c>
      <c r="H25" s="58"/>
      <c r="I25" s="58"/>
      <c r="J25" s="58"/>
      <c r="K25" s="58" t="s">
        <v>80</v>
      </c>
      <c r="L25" s="58"/>
      <c r="M25" s="58"/>
      <c r="N25" s="58"/>
      <c r="O25" s="59" t="s">
        <v>269</v>
      </c>
      <c r="P25" s="59"/>
      <c r="Q25" s="59"/>
      <c r="R25" s="59"/>
      <c r="S25" s="59"/>
      <c r="T25" s="59" t="s">
        <v>270</v>
      </c>
      <c r="U25" s="59"/>
      <c r="V25" s="59"/>
      <c r="W25" s="59"/>
      <c r="X25" s="58" t="s">
        <v>307</v>
      </c>
      <c r="Y25" s="58"/>
    </row>
    <row r="26" spans="1:25" ht="48" customHeight="1" x14ac:dyDescent="0.2">
      <c r="A26" s="42">
        <v>5</v>
      </c>
      <c r="B26" s="43" t="s">
        <v>308</v>
      </c>
      <c r="C26" s="58" t="s">
        <v>309</v>
      </c>
      <c r="D26" s="58"/>
      <c r="E26" s="58"/>
      <c r="F26" s="58"/>
      <c r="G26" s="58" t="s">
        <v>310</v>
      </c>
      <c r="H26" s="58"/>
      <c r="I26" s="58"/>
      <c r="J26" s="58"/>
      <c r="K26" s="58" t="s">
        <v>311</v>
      </c>
      <c r="L26" s="58"/>
      <c r="M26" s="58"/>
      <c r="N26" s="58"/>
      <c r="O26" s="59" t="s">
        <v>269</v>
      </c>
      <c r="P26" s="59"/>
      <c r="Q26" s="59"/>
      <c r="R26" s="59"/>
      <c r="S26" s="59"/>
      <c r="T26" s="59"/>
      <c r="U26" s="59"/>
      <c r="V26" s="59" t="s">
        <v>270</v>
      </c>
      <c r="W26" s="59"/>
      <c r="X26" s="58"/>
      <c r="Y26" s="58"/>
    </row>
    <row r="27" spans="1:25" ht="30" customHeight="1" x14ac:dyDescent="0.2">
      <c r="A27" s="42">
        <v>6</v>
      </c>
      <c r="B27" s="43" t="s">
        <v>312</v>
      </c>
      <c r="C27" s="58" t="s">
        <v>313</v>
      </c>
      <c r="D27" s="58"/>
      <c r="E27" s="58"/>
      <c r="F27" s="58"/>
      <c r="G27" s="58" t="s">
        <v>314</v>
      </c>
      <c r="H27" s="58"/>
      <c r="I27" s="58"/>
      <c r="J27" s="58"/>
      <c r="K27" s="58" t="s">
        <v>315</v>
      </c>
      <c r="L27" s="58"/>
      <c r="M27" s="58"/>
      <c r="N27" s="58"/>
      <c r="O27" s="59" t="s">
        <v>269</v>
      </c>
      <c r="P27" s="59"/>
      <c r="Q27" s="59"/>
      <c r="R27" s="59"/>
      <c r="S27" s="59"/>
      <c r="T27" s="59"/>
      <c r="U27" s="59"/>
      <c r="V27" s="59"/>
      <c r="W27" s="59"/>
      <c r="X27" s="58"/>
      <c r="Y27" s="58"/>
    </row>
    <row r="28" spans="1:25" ht="30" customHeight="1" x14ac:dyDescent="0.2">
      <c r="A28" s="42">
        <v>7</v>
      </c>
      <c r="B28" s="43" t="s">
        <v>316</v>
      </c>
      <c r="C28" s="58" t="s">
        <v>317</v>
      </c>
      <c r="D28" s="58"/>
      <c r="E28" s="58"/>
      <c r="F28" s="58"/>
      <c r="G28" s="58" t="s">
        <v>314</v>
      </c>
      <c r="H28" s="58"/>
      <c r="I28" s="58"/>
      <c r="J28" s="58"/>
      <c r="K28" s="58" t="s">
        <v>315</v>
      </c>
      <c r="L28" s="58"/>
      <c r="M28" s="58"/>
      <c r="N28" s="58"/>
      <c r="O28" s="59" t="s">
        <v>269</v>
      </c>
      <c r="P28" s="59"/>
      <c r="Q28" s="59"/>
      <c r="R28" s="59"/>
      <c r="S28" s="59"/>
      <c r="T28" s="59"/>
      <c r="U28" s="59"/>
      <c r="V28" s="59"/>
      <c r="W28" s="59"/>
      <c r="X28" s="58"/>
      <c r="Y28" s="58"/>
    </row>
    <row r="29" spans="1:25" ht="48" customHeight="1" x14ac:dyDescent="0.2">
      <c r="A29" s="42">
        <v>8</v>
      </c>
      <c r="B29" s="43" t="s">
        <v>318</v>
      </c>
      <c r="C29" s="58" t="s">
        <v>319</v>
      </c>
      <c r="D29" s="58"/>
      <c r="E29" s="58"/>
      <c r="F29" s="58"/>
      <c r="G29" s="58" t="s">
        <v>320</v>
      </c>
      <c r="H29" s="58"/>
      <c r="I29" s="58"/>
      <c r="J29" s="58"/>
      <c r="K29" s="58" t="s">
        <v>321</v>
      </c>
      <c r="L29" s="58"/>
      <c r="M29" s="58"/>
      <c r="N29" s="58"/>
      <c r="O29" s="59" t="s">
        <v>269</v>
      </c>
      <c r="P29" s="59"/>
      <c r="Q29" s="59"/>
      <c r="R29" s="59"/>
      <c r="S29" s="59"/>
      <c r="T29" s="59"/>
      <c r="U29" s="59"/>
      <c r="V29" s="59" t="s">
        <v>270</v>
      </c>
      <c r="W29" s="59"/>
      <c r="X29" s="58"/>
      <c r="Y29" s="58"/>
    </row>
    <row r="30" spans="1:25" ht="48" customHeight="1" x14ac:dyDescent="0.2">
      <c r="A30" s="42">
        <v>9</v>
      </c>
      <c r="B30" s="43" t="s">
        <v>322</v>
      </c>
      <c r="C30" s="58" t="s">
        <v>323</v>
      </c>
      <c r="D30" s="58"/>
      <c r="E30" s="58"/>
      <c r="F30" s="58"/>
      <c r="G30" s="58" t="s">
        <v>324</v>
      </c>
      <c r="H30" s="58"/>
      <c r="I30" s="58"/>
      <c r="J30" s="58"/>
      <c r="K30" s="58" t="s">
        <v>325</v>
      </c>
      <c r="L30" s="58"/>
      <c r="M30" s="58"/>
      <c r="N30" s="58"/>
      <c r="O30" s="59" t="s">
        <v>269</v>
      </c>
      <c r="P30" s="59"/>
      <c r="Q30" s="59"/>
      <c r="R30" s="59"/>
      <c r="S30" s="59"/>
      <c r="T30" s="59"/>
      <c r="U30" s="59"/>
      <c r="V30" s="59"/>
      <c r="W30" s="59"/>
      <c r="X30" s="58" t="s">
        <v>326</v>
      </c>
      <c r="Y30" s="58"/>
    </row>
    <row r="31" spans="1:25" ht="30" customHeight="1" x14ac:dyDescent="0.2">
      <c r="A31" s="42">
        <v>10</v>
      </c>
      <c r="B31" s="43" t="s">
        <v>327</v>
      </c>
      <c r="C31" s="58" t="s">
        <v>328</v>
      </c>
      <c r="D31" s="58"/>
      <c r="E31" s="58"/>
      <c r="F31" s="58"/>
      <c r="G31" s="58" t="s">
        <v>78</v>
      </c>
      <c r="H31" s="58"/>
      <c r="I31" s="58"/>
      <c r="J31" s="58"/>
      <c r="K31" s="58" t="s">
        <v>82</v>
      </c>
      <c r="L31" s="58"/>
      <c r="M31" s="58"/>
      <c r="N31" s="58"/>
      <c r="O31" s="59" t="s">
        <v>283</v>
      </c>
      <c r="P31" s="59"/>
      <c r="Q31" s="59"/>
      <c r="R31" s="59"/>
      <c r="S31" s="59"/>
      <c r="T31" s="59"/>
      <c r="U31" s="59"/>
      <c r="V31" s="59"/>
      <c r="W31" s="59"/>
      <c r="X31" s="58"/>
      <c r="Y31" s="58"/>
    </row>
    <row r="32" spans="1:25" ht="48" customHeight="1" x14ac:dyDescent="0.2">
      <c r="A32" s="42">
        <v>11</v>
      </c>
      <c r="B32" s="43" t="s">
        <v>284</v>
      </c>
      <c r="C32" s="58" t="s">
        <v>329</v>
      </c>
      <c r="D32" s="58"/>
      <c r="E32" s="58"/>
      <c r="F32" s="58"/>
      <c r="G32" s="58" t="s">
        <v>47</v>
      </c>
      <c r="H32" s="58"/>
      <c r="I32" s="58"/>
      <c r="J32" s="58"/>
      <c r="K32" s="58" t="s">
        <v>49</v>
      </c>
      <c r="L32" s="58"/>
      <c r="M32" s="58"/>
      <c r="N32" s="58"/>
      <c r="O32" s="59" t="s">
        <v>269</v>
      </c>
      <c r="P32" s="59"/>
      <c r="Q32" s="59"/>
      <c r="R32" s="59"/>
      <c r="S32" s="59"/>
      <c r="T32" s="59"/>
      <c r="U32" s="59"/>
      <c r="V32" s="59"/>
      <c r="W32" s="59"/>
      <c r="X32" s="58" t="s">
        <v>286</v>
      </c>
      <c r="Y32" s="58"/>
    </row>
    <row r="33" spans="1:25" ht="48" customHeight="1" x14ac:dyDescent="0.2">
      <c r="A33" s="42">
        <v>12</v>
      </c>
      <c r="B33" s="43" t="s">
        <v>330</v>
      </c>
      <c r="C33" s="58" t="s">
        <v>331</v>
      </c>
      <c r="D33" s="58"/>
      <c r="E33" s="58"/>
      <c r="F33" s="58"/>
      <c r="G33" s="58" t="s">
        <v>599</v>
      </c>
      <c r="H33" s="58"/>
      <c r="I33" s="58"/>
      <c r="J33" s="58"/>
      <c r="K33" s="58" t="s">
        <v>600</v>
      </c>
      <c r="L33" s="58"/>
      <c r="M33" s="58"/>
      <c r="N33" s="58"/>
      <c r="O33" s="59" t="s">
        <v>269</v>
      </c>
      <c r="P33" s="59"/>
      <c r="Q33" s="59"/>
      <c r="R33" s="59"/>
      <c r="S33" s="59"/>
      <c r="T33" s="59"/>
      <c r="U33" s="59"/>
      <c r="V33" s="59"/>
      <c r="W33" s="59"/>
      <c r="X33" s="58" t="s">
        <v>601</v>
      </c>
      <c r="Y33" s="58"/>
    </row>
    <row r="34" spans="1:25" ht="24" customHeight="1" x14ac:dyDescent="0.2"/>
    <row r="35" spans="1:25" ht="54" customHeight="1" x14ac:dyDescent="0.2">
      <c r="A35" s="37">
        <f>'Invetario de Tablas'!A7</f>
        <v>4</v>
      </c>
      <c r="B35" s="38" t="s">
        <v>177</v>
      </c>
      <c r="C35" s="52" t="str">
        <f>'Invetario de Tablas'!B7</f>
        <v>perfil</v>
      </c>
      <c r="D35" s="52"/>
      <c r="E35" s="52"/>
      <c r="F35" s="52"/>
      <c r="G35" s="53" t="s">
        <v>178</v>
      </c>
      <c r="H35" s="53"/>
      <c r="I35" s="53"/>
      <c r="J35" s="53"/>
      <c r="K35" s="54" t="str">
        <f>'Invetario de Tablas'!C7</f>
        <v>Datos complementarios, habilidades e intereses del usuario o grupo.</v>
      </c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39" t="s">
        <v>255</v>
      </c>
      <c r="Y35" s="32" t="s">
        <v>590</v>
      </c>
    </row>
    <row r="36" spans="1:25" ht="45" customHeight="1" x14ac:dyDescent="0.2">
      <c r="A36" s="40" t="s">
        <v>1</v>
      </c>
      <c r="B36" s="41" t="s">
        <v>257</v>
      </c>
      <c r="C36" s="55" t="s">
        <v>258</v>
      </c>
      <c r="D36" s="55"/>
      <c r="E36" s="55"/>
      <c r="F36" s="55"/>
      <c r="G36" s="56" t="s">
        <v>591</v>
      </c>
      <c r="H36" s="56"/>
      <c r="I36" s="56"/>
      <c r="J36" s="56"/>
      <c r="K36" s="55" t="s">
        <v>260</v>
      </c>
      <c r="L36" s="55"/>
      <c r="M36" s="55"/>
      <c r="N36" s="55"/>
      <c r="O36" s="55" t="s">
        <v>261</v>
      </c>
      <c r="P36" s="55"/>
      <c r="Q36" s="55"/>
      <c r="R36" s="55" t="s">
        <v>262</v>
      </c>
      <c r="S36" s="55"/>
      <c r="T36" s="55" t="s">
        <v>263</v>
      </c>
      <c r="U36" s="55"/>
      <c r="V36" s="55" t="s">
        <v>264</v>
      </c>
      <c r="W36" s="55"/>
      <c r="X36" s="57" t="s">
        <v>265</v>
      </c>
      <c r="Y36" s="57"/>
    </row>
    <row r="37" spans="1:25" ht="48" customHeight="1" x14ac:dyDescent="0.2">
      <c r="A37" s="42">
        <v>1</v>
      </c>
      <c r="B37" s="43" t="s">
        <v>297</v>
      </c>
      <c r="C37" s="58" t="s">
        <v>333</v>
      </c>
      <c r="D37" s="58"/>
      <c r="E37" s="58"/>
      <c r="F37" s="58"/>
      <c r="G37" s="58" t="s">
        <v>334</v>
      </c>
      <c r="H37" s="58"/>
      <c r="I37" s="58"/>
      <c r="J37" s="58"/>
      <c r="K37" s="58" t="s">
        <v>89</v>
      </c>
      <c r="L37" s="58"/>
      <c r="M37" s="58"/>
      <c r="N37" s="58"/>
      <c r="O37" s="59" t="s">
        <v>269</v>
      </c>
      <c r="P37" s="59"/>
      <c r="Q37" s="59"/>
      <c r="R37" s="59" t="s">
        <v>270</v>
      </c>
      <c r="S37" s="59"/>
      <c r="T37" s="59" t="s">
        <v>270</v>
      </c>
      <c r="U37" s="59"/>
      <c r="V37" s="59"/>
      <c r="W37" s="59"/>
      <c r="X37" s="58" t="s">
        <v>335</v>
      </c>
      <c r="Y37" s="58"/>
    </row>
    <row r="38" spans="1:25" ht="30" customHeight="1" x14ac:dyDescent="0.2">
      <c r="A38" s="42">
        <v>2</v>
      </c>
      <c r="B38" s="43" t="s">
        <v>336</v>
      </c>
      <c r="C38" s="58" t="s">
        <v>337</v>
      </c>
      <c r="D38" s="58"/>
      <c r="E38" s="58"/>
      <c r="F38" s="58"/>
      <c r="G38" s="58" t="s">
        <v>338</v>
      </c>
      <c r="H38" s="58"/>
      <c r="I38" s="58"/>
      <c r="J38" s="58"/>
      <c r="K38" s="58" t="s">
        <v>339</v>
      </c>
      <c r="L38" s="58"/>
      <c r="M38" s="58"/>
      <c r="N38" s="58"/>
      <c r="O38" s="59" t="s">
        <v>283</v>
      </c>
      <c r="P38" s="59"/>
      <c r="Q38" s="59"/>
      <c r="R38" s="59"/>
      <c r="S38" s="59"/>
      <c r="T38" s="59"/>
      <c r="U38" s="59"/>
      <c r="V38" s="59"/>
      <c r="W38" s="59"/>
      <c r="X38" s="58"/>
      <c r="Y38" s="58"/>
    </row>
    <row r="39" spans="1:25" ht="69" customHeight="1" x14ac:dyDescent="0.2">
      <c r="A39" s="42">
        <v>3</v>
      </c>
      <c r="B39" s="43" t="s">
        <v>340</v>
      </c>
      <c r="C39" s="58" t="s">
        <v>341</v>
      </c>
      <c r="D39" s="58"/>
      <c r="E39" s="58"/>
      <c r="F39" s="58"/>
      <c r="G39" s="58" t="s">
        <v>57</v>
      </c>
      <c r="H39" s="58"/>
      <c r="I39" s="58"/>
      <c r="J39" s="58"/>
      <c r="K39" s="58" t="s">
        <v>602</v>
      </c>
      <c r="L39" s="58"/>
      <c r="M39" s="58"/>
      <c r="N39" s="58"/>
      <c r="O39" s="59" t="s">
        <v>283</v>
      </c>
      <c r="P39" s="59"/>
      <c r="Q39" s="59"/>
      <c r="R39" s="59"/>
      <c r="S39" s="59"/>
      <c r="T39" s="59"/>
      <c r="U39" s="59"/>
      <c r="V39" s="59"/>
      <c r="W39" s="59"/>
      <c r="X39" s="58"/>
      <c r="Y39" s="58"/>
    </row>
    <row r="40" spans="1:25" ht="48" customHeight="1" x14ac:dyDescent="0.2">
      <c r="A40" s="42">
        <v>4</v>
      </c>
      <c r="B40" s="43" t="s">
        <v>342</v>
      </c>
      <c r="C40" s="58" t="s">
        <v>343</v>
      </c>
      <c r="D40" s="58"/>
      <c r="E40" s="58"/>
      <c r="F40" s="58"/>
      <c r="G40" s="58" t="s">
        <v>344</v>
      </c>
      <c r="H40" s="58"/>
      <c r="I40" s="58"/>
      <c r="J40" s="58"/>
      <c r="K40" s="58" t="s">
        <v>345</v>
      </c>
      <c r="L40" s="58"/>
      <c r="M40" s="58"/>
      <c r="N40" s="58"/>
      <c r="O40" s="59" t="s">
        <v>283</v>
      </c>
      <c r="P40" s="59"/>
      <c r="Q40" s="59"/>
      <c r="R40" s="59"/>
      <c r="S40" s="59"/>
      <c r="T40" s="59"/>
      <c r="U40" s="59"/>
      <c r="V40" s="59"/>
      <c r="W40" s="59"/>
      <c r="X40" s="58"/>
      <c r="Y40" s="58"/>
    </row>
    <row r="41" spans="1:25" ht="48" customHeight="1" x14ac:dyDescent="0.2">
      <c r="A41" s="42">
        <v>5</v>
      </c>
      <c r="B41" s="43" t="s">
        <v>346</v>
      </c>
      <c r="C41" s="58" t="s">
        <v>347</v>
      </c>
      <c r="D41" s="58"/>
      <c r="E41" s="58"/>
      <c r="F41" s="58"/>
      <c r="G41" s="58" t="s">
        <v>598</v>
      </c>
      <c r="H41" s="58"/>
      <c r="I41" s="58"/>
      <c r="J41" s="58"/>
      <c r="K41" s="58" t="s">
        <v>80</v>
      </c>
      <c r="L41" s="58"/>
      <c r="M41" s="58"/>
      <c r="N41" s="58"/>
      <c r="O41" s="59" t="s">
        <v>283</v>
      </c>
      <c r="P41" s="59"/>
      <c r="Q41" s="59"/>
      <c r="R41" s="59"/>
      <c r="S41" s="59"/>
      <c r="T41" s="59"/>
      <c r="U41" s="59"/>
      <c r="V41" s="59"/>
      <c r="W41" s="59"/>
      <c r="X41" s="58" t="s">
        <v>348</v>
      </c>
      <c r="Y41" s="58"/>
    </row>
    <row r="42" spans="1:25" ht="48" customHeight="1" x14ac:dyDescent="0.2">
      <c r="A42" s="42">
        <v>6</v>
      </c>
      <c r="B42" s="43" t="s">
        <v>349</v>
      </c>
      <c r="C42" s="58" t="s">
        <v>350</v>
      </c>
      <c r="D42" s="58"/>
      <c r="E42" s="58"/>
      <c r="F42" s="58"/>
      <c r="G42" s="58" t="s">
        <v>148</v>
      </c>
      <c r="H42" s="58"/>
      <c r="I42" s="58"/>
      <c r="J42" s="58"/>
      <c r="K42" s="58" t="s">
        <v>110</v>
      </c>
      <c r="L42" s="58"/>
      <c r="M42" s="58"/>
      <c r="N42" s="58"/>
      <c r="O42" s="59" t="s">
        <v>283</v>
      </c>
      <c r="P42" s="59"/>
      <c r="Q42" s="59"/>
      <c r="R42" s="59"/>
      <c r="S42" s="59"/>
      <c r="T42" s="59"/>
      <c r="U42" s="59"/>
      <c r="V42" s="59"/>
      <c r="W42" s="59"/>
      <c r="X42" s="58"/>
      <c r="Y42" s="58"/>
    </row>
    <row r="43" spans="1:25" ht="48" customHeight="1" x14ac:dyDescent="0.2">
      <c r="A43" s="42">
        <v>7</v>
      </c>
      <c r="B43" s="43" t="s">
        <v>351</v>
      </c>
      <c r="C43" s="58" t="s">
        <v>352</v>
      </c>
      <c r="D43" s="58"/>
      <c r="E43" s="58"/>
      <c r="F43" s="58"/>
      <c r="G43" s="58" t="s">
        <v>599</v>
      </c>
      <c r="H43" s="58"/>
      <c r="I43" s="58"/>
      <c r="J43" s="58"/>
      <c r="K43" s="58" t="s">
        <v>600</v>
      </c>
      <c r="L43" s="58"/>
      <c r="M43" s="58"/>
      <c r="N43" s="58"/>
      <c r="O43" s="59" t="s">
        <v>269</v>
      </c>
      <c r="P43" s="59"/>
      <c r="Q43" s="59"/>
      <c r="R43" s="59"/>
      <c r="S43" s="59"/>
      <c r="T43" s="59"/>
      <c r="U43" s="59"/>
      <c r="V43" s="59"/>
      <c r="W43" s="59"/>
      <c r="X43" s="58" t="s">
        <v>601</v>
      </c>
      <c r="Y43" s="58"/>
    </row>
    <row r="44" spans="1:25" ht="24" customHeight="1" x14ac:dyDescent="0.2"/>
    <row r="45" spans="1:25" ht="54" customHeight="1" x14ac:dyDescent="0.2">
      <c r="A45" s="37">
        <f>'Invetario de Tablas'!A8</f>
        <v>5</v>
      </c>
      <c r="B45" s="38" t="s">
        <v>177</v>
      </c>
      <c r="C45" s="52" t="str">
        <f>'Invetario de Tablas'!B8</f>
        <v>categoria_publicacion</v>
      </c>
      <c r="D45" s="52"/>
      <c r="E45" s="52"/>
      <c r="F45" s="52"/>
      <c r="G45" s="53" t="s">
        <v>178</v>
      </c>
      <c r="H45" s="53"/>
      <c r="I45" s="53"/>
      <c r="J45" s="53"/>
      <c r="K45" s="54" t="str">
        <f>'Invetario de Tablas'!C8</f>
        <v>Clasificación de contenido (duda, recurso, noticia, meme).</v>
      </c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39" t="s">
        <v>255</v>
      </c>
      <c r="Y45" s="32" t="s">
        <v>590</v>
      </c>
    </row>
    <row r="46" spans="1:25" ht="45" customHeight="1" x14ac:dyDescent="0.2">
      <c r="A46" s="40" t="s">
        <v>1</v>
      </c>
      <c r="B46" s="41" t="s">
        <v>257</v>
      </c>
      <c r="C46" s="55" t="s">
        <v>258</v>
      </c>
      <c r="D46" s="55"/>
      <c r="E46" s="55"/>
      <c r="F46" s="55"/>
      <c r="G46" s="56" t="s">
        <v>591</v>
      </c>
      <c r="H46" s="56"/>
      <c r="I46" s="56"/>
      <c r="J46" s="56"/>
      <c r="K46" s="55" t="s">
        <v>260</v>
      </c>
      <c r="L46" s="55"/>
      <c r="M46" s="55"/>
      <c r="N46" s="55"/>
      <c r="O46" s="55" t="s">
        <v>261</v>
      </c>
      <c r="P46" s="55"/>
      <c r="Q46" s="55"/>
      <c r="R46" s="55" t="s">
        <v>262</v>
      </c>
      <c r="S46" s="55"/>
      <c r="T46" s="55" t="s">
        <v>263</v>
      </c>
      <c r="U46" s="55"/>
      <c r="V46" s="55" t="s">
        <v>264</v>
      </c>
      <c r="W46" s="55"/>
      <c r="X46" s="57" t="s">
        <v>265</v>
      </c>
      <c r="Y46" s="57"/>
    </row>
    <row r="47" spans="1:25" ht="48" customHeight="1" x14ac:dyDescent="0.2">
      <c r="A47" s="42">
        <v>1</v>
      </c>
      <c r="B47" s="43" t="s">
        <v>353</v>
      </c>
      <c r="C47" s="58" t="s">
        <v>354</v>
      </c>
      <c r="D47" s="58"/>
      <c r="E47" s="58"/>
      <c r="F47" s="58"/>
      <c r="G47" s="58" t="s">
        <v>592</v>
      </c>
      <c r="H47" s="58"/>
      <c r="I47" s="58"/>
      <c r="J47" s="58"/>
      <c r="K47" s="58" t="s">
        <v>80</v>
      </c>
      <c r="L47" s="58"/>
      <c r="M47" s="58"/>
      <c r="N47" s="58"/>
      <c r="O47" s="59" t="s">
        <v>269</v>
      </c>
      <c r="P47" s="59"/>
      <c r="Q47" s="59"/>
      <c r="R47" s="59" t="s">
        <v>270</v>
      </c>
      <c r="S47" s="59"/>
      <c r="T47" s="59"/>
      <c r="U47" s="59"/>
      <c r="V47" s="59"/>
      <c r="W47" s="59"/>
      <c r="X47" s="49" t="s">
        <v>637</v>
      </c>
      <c r="Y47" s="49"/>
    </row>
    <row r="48" spans="1:25" ht="48" customHeight="1" x14ac:dyDescent="0.2">
      <c r="A48" s="42">
        <v>2</v>
      </c>
      <c r="B48" s="43" t="s">
        <v>355</v>
      </c>
      <c r="C48" s="58" t="s">
        <v>356</v>
      </c>
      <c r="D48" s="58"/>
      <c r="E48" s="58"/>
      <c r="F48" s="58"/>
      <c r="G48" s="58" t="s">
        <v>357</v>
      </c>
      <c r="H48" s="58"/>
      <c r="I48" s="58"/>
      <c r="J48" s="58"/>
      <c r="K48" s="58" t="s">
        <v>358</v>
      </c>
      <c r="L48" s="58"/>
      <c r="M48" s="58"/>
      <c r="N48" s="58"/>
      <c r="O48" s="59" t="s">
        <v>269</v>
      </c>
      <c r="P48" s="59"/>
      <c r="Q48" s="59"/>
      <c r="R48" s="59"/>
      <c r="S48" s="59"/>
      <c r="T48" s="59"/>
      <c r="U48" s="59"/>
      <c r="V48" s="59" t="s">
        <v>270</v>
      </c>
      <c r="W48" s="59"/>
      <c r="X48" s="58"/>
      <c r="Y48" s="58"/>
    </row>
    <row r="49" spans="1:25" ht="48" customHeight="1" x14ac:dyDescent="0.2">
      <c r="A49" s="42">
        <v>3</v>
      </c>
      <c r="B49" s="43" t="s">
        <v>359</v>
      </c>
      <c r="C49" s="58" t="s">
        <v>360</v>
      </c>
      <c r="D49" s="58"/>
      <c r="E49" s="58"/>
      <c r="F49" s="58"/>
      <c r="G49" s="58" t="s">
        <v>281</v>
      </c>
      <c r="H49" s="58"/>
      <c r="I49" s="58"/>
      <c r="J49" s="58"/>
      <c r="K49" s="58" t="s">
        <v>282</v>
      </c>
      <c r="L49" s="58"/>
      <c r="M49" s="58"/>
      <c r="N49" s="58"/>
      <c r="O49" s="59" t="s">
        <v>283</v>
      </c>
      <c r="P49" s="59"/>
      <c r="Q49" s="59"/>
      <c r="R49" s="59"/>
      <c r="S49" s="59"/>
      <c r="T49" s="59"/>
      <c r="U49" s="59"/>
      <c r="V49" s="59"/>
      <c r="W49" s="59"/>
      <c r="X49" s="58"/>
      <c r="Y49" s="58"/>
    </row>
    <row r="50" spans="1:25" ht="48" customHeight="1" x14ac:dyDescent="0.2">
      <c r="A50" s="42">
        <v>4</v>
      </c>
      <c r="B50" s="43" t="s">
        <v>284</v>
      </c>
      <c r="C50" s="58" t="s">
        <v>361</v>
      </c>
      <c r="D50" s="58"/>
      <c r="E50" s="58"/>
      <c r="F50" s="58"/>
      <c r="G50" s="58" t="s">
        <v>47</v>
      </c>
      <c r="H50" s="58"/>
      <c r="I50" s="58"/>
      <c r="J50" s="58"/>
      <c r="K50" s="58" t="s">
        <v>49</v>
      </c>
      <c r="L50" s="58"/>
      <c r="M50" s="58"/>
      <c r="N50" s="58"/>
      <c r="O50" s="59" t="s">
        <v>269</v>
      </c>
      <c r="P50" s="59"/>
      <c r="Q50" s="59"/>
      <c r="R50" s="59"/>
      <c r="S50" s="59"/>
      <c r="T50" s="59"/>
      <c r="U50" s="59"/>
      <c r="V50" s="59"/>
      <c r="W50" s="59"/>
      <c r="X50" s="58" t="s">
        <v>286</v>
      </c>
      <c r="Y50" s="58"/>
    </row>
    <row r="51" spans="1:25" ht="24" customHeight="1" x14ac:dyDescent="0.2"/>
    <row r="52" spans="1:25" ht="54" customHeight="1" x14ac:dyDescent="0.2">
      <c r="A52" s="37">
        <f>'Invetario de Tablas'!A9</f>
        <v>6</v>
      </c>
      <c r="B52" s="38" t="s">
        <v>177</v>
      </c>
      <c r="C52" s="52" t="str">
        <f>'Invetario de Tablas'!B9</f>
        <v>publicacion</v>
      </c>
      <c r="D52" s="52"/>
      <c r="E52" s="52"/>
      <c r="F52" s="52"/>
      <c r="G52" s="53" t="s">
        <v>178</v>
      </c>
      <c r="H52" s="53"/>
      <c r="I52" s="53"/>
      <c r="J52" s="53"/>
      <c r="K52" s="54" t="str">
        <f>'Invetario de Tablas'!C9</f>
        <v>Mensajes, preguntas o noticias compartidas por los usuarios.</v>
      </c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39" t="s">
        <v>255</v>
      </c>
      <c r="Y52" s="32" t="s">
        <v>590</v>
      </c>
    </row>
    <row r="53" spans="1:25" ht="45" customHeight="1" x14ac:dyDescent="0.2">
      <c r="A53" s="40" t="s">
        <v>1</v>
      </c>
      <c r="B53" s="41" t="s">
        <v>257</v>
      </c>
      <c r="C53" s="55" t="s">
        <v>258</v>
      </c>
      <c r="D53" s="55"/>
      <c r="E53" s="55"/>
      <c r="F53" s="55"/>
      <c r="G53" s="56" t="s">
        <v>591</v>
      </c>
      <c r="H53" s="56"/>
      <c r="I53" s="56"/>
      <c r="J53" s="56"/>
      <c r="K53" s="55" t="s">
        <v>260</v>
      </c>
      <c r="L53" s="55"/>
      <c r="M53" s="55"/>
      <c r="N53" s="55"/>
      <c r="O53" s="55" t="s">
        <v>261</v>
      </c>
      <c r="P53" s="55"/>
      <c r="Q53" s="55"/>
      <c r="R53" s="55" t="s">
        <v>262</v>
      </c>
      <c r="S53" s="55"/>
      <c r="T53" s="55" t="s">
        <v>263</v>
      </c>
      <c r="U53" s="55"/>
      <c r="V53" s="55" t="s">
        <v>264</v>
      </c>
      <c r="W53" s="55"/>
      <c r="X53" s="57" t="s">
        <v>265</v>
      </c>
      <c r="Y53" s="57"/>
    </row>
    <row r="54" spans="1:25" ht="48" customHeight="1" x14ac:dyDescent="0.2">
      <c r="A54" s="42">
        <v>1</v>
      </c>
      <c r="B54" s="43" t="s">
        <v>362</v>
      </c>
      <c r="C54" s="58" t="s">
        <v>363</v>
      </c>
      <c r="D54" s="58"/>
      <c r="E54" s="58"/>
      <c r="F54" s="58"/>
      <c r="G54" s="58" t="s">
        <v>594</v>
      </c>
      <c r="H54" s="58"/>
      <c r="I54" s="58"/>
      <c r="J54" s="58"/>
      <c r="K54" s="58" t="s">
        <v>89</v>
      </c>
      <c r="L54" s="58"/>
      <c r="M54" s="58"/>
      <c r="N54" s="58"/>
      <c r="O54" s="59" t="s">
        <v>269</v>
      </c>
      <c r="P54" s="59"/>
      <c r="Q54" s="59"/>
      <c r="R54" s="59" t="s">
        <v>270</v>
      </c>
      <c r="S54" s="59"/>
      <c r="T54" s="59"/>
      <c r="U54" s="59"/>
      <c r="V54" s="59"/>
      <c r="W54" s="59"/>
      <c r="X54" s="49" t="s">
        <v>637</v>
      </c>
      <c r="Y54" s="49"/>
    </row>
    <row r="55" spans="1:25" ht="48" customHeight="1" x14ac:dyDescent="0.2">
      <c r="A55" s="42">
        <v>2</v>
      </c>
      <c r="B55" s="43" t="s">
        <v>297</v>
      </c>
      <c r="C55" s="58" t="s">
        <v>364</v>
      </c>
      <c r="D55" s="58"/>
      <c r="E55" s="58"/>
      <c r="F55" s="58"/>
      <c r="G55" s="58" t="s">
        <v>334</v>
      </c>
      <c r="H55" s="58"/>
      <c r="I55" s="58"/>
      <c r="J55" s="58"/>
      <c r="K55" s="58" t="s">
        <v>89</v>
      </c>
      <c r="L55" s="58"/>
      <c r="M55" s="58"/>
      <c r="N55" s="58"/>
      <c r="O55" s="59" t="s">
        <v>269</v>
      </c>
      <c r="P55" s="59"/>
      <c r="Q55" s="59"/>
      <c r="R55" s="59"/>
      <c r="S55" s="59"/>
      <c r="T55" s="59" t="s">
        <v>270</v>
      </c>
      <c r="U55" s="59"/>
      <c r="V55" s="59"/>
      <c r="W55" s="59"/>
      <c r="X55" s="58" t="s">
        <v>335</v>
      </c>
      <c r="Y55" s="58"/>
    </row>
    <row r="56" spans="1:25" ht="48" customHeight="1" x14ac:dyDescent="0.2">
      <c r="A56" s="42">
        <v>3</v>
      </c>
      <c r="B56" s="43" t="s">
        <v>353</v>
      </c>
      <c r="C56" s="58" t="s">
        <v>365</v>
      </c>
      <c r="D56" s="58"/>
      <c r="E56" s="58"/>
      <c r="F56" s="58"/>
      <c r="G56" s="58" t="s">
        <v>598</v>
      </c>
      <c r="H56" s="58"/>
      <c r="I56" s="58"/>
      <c r="J56" s="58"/>
      <c r="K56" s="58" t="s">
        <v>80</v>
      </c>
      <c r="L56" s="58"/>
      <c r="M56" s="58"/>
      <c r="N56" s="58"/>
      <c r="O56" s="59" t="s">
        <v>269</v>
      </c>
      <c r="P56" s="59"/>
      <c r="Q56" s="59"/>
      <c r="R56" s="59"/>
      <c r="S56" s="59"/>
      <c r="T56" s="59" t="s">
        <v>270</v>
      </c>
      <c r="U56" s="59"/>
      <c r="V56" s="59"/>
      <c r="W56" s="59"/>
      <c r="X56" s="58" t="s">
        <v>366</v>
      </c>
      <c r="Y56" s="58"/>
    </row>
    <row r="57" spans="1:25" ht="48" customHeight="1" x14ac:dyDescent="0.2">
      <c r="A57" s="42">
        <v>4</v>
      </c>
      <c r="B57" s="43" t="s">
        <v>367</v>
      </c>
      <c r="C57" s="58" t="s">
        <v>368</v>
      </c>
      <c r="D57" s="58"/>
      <c r="E57" s="58"/>
      <c r="F57" s="58"/>
      <c r="G57" s="58" t="s">
        <v>281</v>
      </c>
      <c r="H57" s="58"/>
      <c r="I57" s="58"/>
      <c r="J57" s="58"/>
      <c r="K57" s="58" t="s">
        <v>282</v>
      </c>
      <c r="L57" s="58"/>
      <c r="M57" s="58"/>
      <c r="N57" s="58"/>
      <c r="O57" s="59" t="s">
        <v>269</v>
      </c>
      <c r="P57" s="59"/>
      <c r="Q57" s="59"/>
      <c r="R57" s="59"/>
      <c r="S57" s="59"/>
      <c r="T57" s="59"/>
      <c r="U57" s="59"/>
      <c r="V57" s="59"/>
      <c r="W57" s="59"/>
      <c r="X57" s="58"/>
      <c r="Y57" s="58"/>
    </row>
    <row r="58" spans="1:25" ht="69" customHeight="1" x14ac:dyDescent="0.2">
      <c r="A58" s="42">
        <v>5</v>
      </c>
      <c r="B58" s="43" t="s">
        <v>369</v>
      </c>
      <c r="C58" s="58" t="s">
        <v>370</v>
      </c>
      <c r="D58" s="58"/>
      <c r="E58" s="58"/>
      <c r="F58" s="58"/>
      <c r="G58" s="58" t="s">
        <v>57</v>
      </c>
      <c r="H58" s="58"/>
      <c r="I58" s="58"/>
      <c r="J58" s="58"/>
      <c r="K58" s="58" t="s">
        <v>602</v>
      </c>
      <c r="L58" s="58"/>
      <c r="M58" s="58"/>
      <c r="N58" s="58"/>
      <c r="O58" s="59" t="s">
        <v>269</v>
      </c>
      <c r="P58" s="59"/>
      <c r="Q58" s="59"/>
      <c r="R58" s="59"/>
      <c r="S58" s="59"/>
      <c r="T58" s="59"/>
      <c r="U58" s="59"/>
      <c r="V58" s="59"/>
      <c r="W58" s="59"/>
      <c r="X58" s="58"/>
      <c r="Y58" s="58"/>
    </row>
    <row r="59" spans="1:25" ht="48" customHeight="1" x14ac:dyDescent="0.2">
      <c r="A59" s="42">
        <v>6</v>
      </c>
      <c r="B59" s="43" t="s">
        <v>371</v>
      </c>
      <c r="C59" s="58" t="s">
        <v>372</v>
      </c>
      <c r="D59" s="58"/>
      <c r="E59" s="58"/>
      <c r="F59" s="58"/>
      <c r="G59" s="58" t="s">
        <v>324</v>
      </c>
      <c r="H59" s="58"/>
      <c r="I59" s="58"/>
      <c r="J59" s="58"/>
      <c r="K59" s="58" t="s">
        <v>325</v>
      </c>
      <c r="L59" s="58"/>
      <c r="M59" s="58"/>
      <c r="N59" s="58"/>
      <c r="O59" s="59" t="s">
        <v>283</v>
      </c>
      <c r="P59" s="59"/>
      <c r="Q59" s="59"/>
      <c r="R59" s="59"/>
      <c r="S59" s="59"/>
      <c r="T59" s="59"/>
      <c r="U59" s="59"/>
      <c r="V59" s="59"/>
      <c r="W59" s="59"/>
      <c r="X59" s="58"/>
      <c r="Y59" s="58"/>
    </row>
    <row r="60" spans="1:25" ht="48" customHeight="1" x14ac:dyDescent="0.2">
      <c r="A60" s="42">
        <v>7</v>
      </c>
      <c r="B60" s="43" t="s">
        <v>373</v>
      </c>
      <c r="C60" s="58" t="s">
        <v>374</v>
      </c>
      <c r="D60" s="58"/>
      <c r="E60" s="58"/>
      <c r="F60" s="58"/>
      <c r="G60" s="58" t="s">
        <v>599</v>
      </c>
      <c r="H60" s="58"/>
      <c r="I60" s="58"/>
      <c r="J60" s="58"/>
      <c r="K60" s="58" t="s">
        <v>600</v>
      </c>
      <c r="L60" s="58"/>
      <c r="M60" s="58"/>
      <c r="N60" s="58"/>
      <c r="O60" s="59" t="s">
        <v>269</v>
      </c>
      <c r="P60" s="59"/>
      <c r="Q60" s="59"/>
      <c r="R60" s="59"/>
      <c r="S60" s="59"/>
      <c r="T60" s="59"/>
      <c r="U60" s="59"/>
      <c r="V60" s="59"/>
      <c r="W60" s="59"/>
      <c r="X60" s="58" t="s">
        <v>601</v>
      </c>
      <c r="Y60" s="58"/>
    </row>
    <row r="61" spans="1:25" ht="48" customHeight="1" x14ac:dyDescent="0.2">
      <c r="A61" s="42">
        <v>8</v>
      </c>
      <c r="B61" s="43" t="s">
        <v>284</v>
      </c>
      <c r="C61" s="58" t="s">
        <v>375</v>
      </c>
      <c r="D61" s="58"/>
      <c r="E61" s="58"/>
      <c r="F61" s="58"/>
      <c r="G61" s="58" t="s">
        <v>47</v>
      </c>
      <c r="H61" s="58"/>
      <c r="I61" s="58"/>
      <c r="J61" s="58"/>
      <c r="K61" s="58" t="s">
        <v>49</v>
      </c>
      <c r="L61" s="58"/>
      <c r="M61" s="58"/>
      <c r="N61" s="58"/>
      <c r="O61" s="59" t="s">
        <v>269</v>
      </c>
      <c r="P61" s="59"/>
      <c r="Q61" s="59"/>
      <c r="R61" s="59"/>
      <c r="S61" s="59"/>
      <c r="T61" s="59"/>
      <c r="U61" s="59"/>
      <c r="V61" s="59"/>
      <c r="W61" s="59"/>
      <c r="X61" s="58" t="s">
        <v>286</v>
      </c>
      <c r="Y61" s="58"/>
    </row>
    <row r="62" spans="1:25" ht="24" customHeight="1" x14ac:dyDescent="0.2"/>
    <row r="63" spans="1:25" ht="54" customHeight="1" x14ac:dyDescent="0.2">
      <c r="A63" s="37">
        <f>'Invetario de Tablas'!A10</f>
        <v>7</v>
      </c>
      <c r="B63" s="38" t="s">
        <v>177</v>
      </c>
      <c r="C63" s="52" t="str">
        <f>'Invetario de Tablas'!B10</f>
        <v>comentario</v>
      </c>
      <c r="D63" s="52"/>
      <c r="E63" s="52"/>
      <c r="F63" s="52"/>
      <c r="G63" s="53" t="s">
        <v>178</v>
      </c>
      <c r="H63" s="53"/>
      <c r="I63" s="53"/>
      <c r="J63" s="53"/>
      <c r="K63" s="54" t="str">
        <f>'Invetario de Tablas'!C10</f>
        <v>Comentarios realizados sobre las publicaciones de otros usuarios.</v>
      </c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39" t="s">
        <v>255</v>
      </c>
      <c r="Y63" s="32" t="s">
        <v>590</v>
      </c>
    </row>
    <row r="64" spans="1:25" ht="45" customHeight="1" x14ac:dyDescent="0.2">
      <c r="A64" s="40" t="s">
        <v>1</v>
      </c>
      <c r="B64" s="41" t="s">
        <v>257</v>
      </c>
      <c r="C64" s="55" t="s">
        <v>258</v>
      </c>
      <c r="D64" s="55"/>
      <c r="E64" s="55"/>
      <c r="F64" s="55"/>
      <c r="G64" s="56" t="s">
        <v>591</v>
      </c>
      <c r="H64" s="56"/>
      <c r="I64" s="56"/>
      <c r="J64" s="56"/>
      <c r="K64" s="55" t="s">
        <v>260</v>
      </c>
      <c r="L64" s="55"/>
      <c r="M64" s="55"/>
      <c r="N64" s="55"/>
      <c r="O64" s="55" t="s">
        <v>261</v>
      </c>
      <c r="P64" s="55"/>
      <c r="Q64" s="55"/>
      <c r="R64" s="55" t="s">
        <v>262</v>
      </c>
      <c r="S64" s="55"/>
      <c r="T64" s="55" t="s">
        <v>263</v>
      </c>
      <c r="U64" s="55"/>
      <c r="V64" s="55" t="s">
        <v>264</v>
      </c>
      <c r="W64" s="55"/>
      <c r="X64" s="57" t="s">
        <v>265</v>
      </c>
      <c r="Y64" s="57"/>
    </row>
    <row r="65" spans="1:25" ht="48" customHeight="1" x14ac:dyDescent="0.2">
      <c r="A65" s="42">
        <v>1</v>
      </c>
      <c r="B65" s="43" t="s">
        <v>362</v>
      </c>
      <c r="C65" s="58" t="s">
        <v>376</v>
      </c>
      <c r="D65" s="58"/>
      <c r="E65" s="58"/>
      <c r="F65" s="58"/>
      <c r="G65" s="58" t="s">
        <v>334</v>
      </c>
      <c r="H65" s="58"/>
      <c r="I65" s="58"/>
      <c r="J65" s="58"/>
      <c r="K65" s="58" t="s">
        <v>89</v>
      </c>
      <c r="L65" s="58"/>
      <c r="M65" s="58"/>
      <c r="N65" s="58"/>
      <c r="O65" s="59" t="s">
        <v>269</v>
      </c>
      <c r="P65" s="59"/>
      <c r="Q65" s="59"/>
      <c r="R65" s="59" t="s">
        <v>270</v>
      </c>
      <c r="S65" s="59"/>
      <c r="T65" s="59" t="s">
        <v>270</v>
      </c>
      <c r="U65" s="59"/>
      <c r="V65" s="59"/>
      <c r="W65" s="59"/>
      <c r="X65" s="58" t="s">
        <v>377</v>
      </c>
      <c r="Y65" s="58"/>
    </row>
    <row r="66" spans="1:25" ht="48" customHeight="1" x14ac:dyDescent="0.2">
      <c r="A66" s="42">
        <v>2</v>
      </c>
      <c r="B66" s="43" t="s">
        <v>378</v>
      </c>
      <c r="C66" s="58" t="s">
        <v>379</v>
      </c>
      <c r="D66" s="58"/>
      <c r="E66" s="58"/>
      <c r="F66" s="58"/>
      <c r="G66" s="58" t="s">
        <v>598</v>
      </c>
      <c r="H66" s="58"/>
      <c r="I66" s="58"/>
      <c r="J66" s="58"/>
      <c r="K66" s="58" t="s">
        <v>80</v>
      </c>
      <c r="L66" s="58"/>
      <c r="M66" s="58"/>
      <c r="N66" s="58"/>
      <c r="O66" s="59" t="s">
        <v>269</v>
      </c>
      <c r="P66" s="59"/>
      <c r="Q66" s="59"/>
      <c r="R66" s="59" t="s">
        <v>270</v>
      </c>
      <c r="S66" s="59"/>
      <c r="T66" s="59"/>
      <c r="U66" s="59"/>
      <c r="V66" s="59"/>
      <c r="W66" s="59"/>
      <c r="X66" s="58" t="s">
        <v>380</v>
      </c>
      <c r="Y66" s="58"/>
    </row>
    <row r="67" spans="1:25" ht="30" customHeight="1" x14ac:dyDescent="0.2">
      <c r="A67" s="42">
        <v>3</v>
      </c>
      <c r="B67" s="43" t="s">
        <v>297</v>
      </c>
      <c r="C67" s="58" t="s">
        <v>381</v>
      </c>
      <c r="D67" s="58"/>
      <c r="E67" s="58"/>
      <c r="F67" s="58"/>
      <c r="G67" s="58" t="s">
        <v>334</v>
      </c>
      <c r="H67" s="58"/>
      <c r="I67" s="58"/>
      <c r="J67" s="58"/>
      <c r="K67" s="58" t="s">
        <v>89</v>
      </c>
      <c r="L67" s="58"/>
      <c r="M67" s="58"/>
      <c r="N67" s="58"/>
      <c r="O67" s="59" t="s">
        <v>269</v>
      </c>
      <c r="P67" s="59"/>
      <c r="Q67" s="59"/>
      <c r="R67" s="59"/>
      <c r="S67" s="59"/>
      <c r="T67" s="59" t="s">
        <v>270</v>
      </c>
      <c r="U67" s="59"/>
      <c r="V67" s="59"/>
      <c r="W67" s="59"/>
      <c r="X67" s="58" t="s">
        <v>335</v>
      </c>
      <c r="Y67" s="58"/>
    </row>
    <row r="68" spans="1:25" ht="69" customHeight="1" x14ac:dyDescent="0.2">
      <c r="A68" s="42">
        <v>4</v>
      </c>
      <c r="B68" s="43" t="s">
        <v>382</v>
      </c>
      <c r="C68" s="58" t="s">
        <v>383</v>
      </c>
      <c r="D68" s="58"/>
      <c r="E68" s="58"/>
      <c r="F68" s="58"/>
      <c r="G68" s="58" t="s">
        <v>57</v>
      </c>
      <c r="H68" s="58"/>
      <c r="I68" s="58"/>
      <c r="J68" s="58"/>
      <c r="K68" s="58" t="s">
        <v>602</v>
      </c>
      <c r="L68" s="58"/>
      <c r="M68" s="58"/>
      <c r="N68" s="58"/>
      <c r="O68" s="59" t="s">
        <v>269</v>
      </c>
      <c r="P68" s="59"/>
      <c r="Q68" s="59"/>
      <c r="R68" s="59"/>
      <c r="S68" s="59"/>
      <c r="T68" s="59"/>
      <c r="U68" s="59"/>
      <c r="V68" s="59"/>
      <c r="W68" s="59"/>
      <c r="X68" s="58"/>
      <c r="Y68" s="58"/>
    </row>
    <row r="69" spans="1:25" ht="48" customHeight="1" x14ac:dyDescent="0.2">
      <c r="A69" s="42">
        <v>5</v>
      </c>
      <c r="B69" s="43" t="s">
        <v>384</v>
      </c>
      <c r="C69" s="58" t="s">
        <v>385</v>
      </c>
      <c r="D69" s="58"/>
      <c r="E69" s="58"/>
      <c r="F69" s="58"/>
      <c r="G69" s="58" t="s">
        <v>599</v>
      </c>
      <c r="H69" s="58"/>
      <c r="I69" s="58"/>
      <c r="J69" s="58"/>
      <c r="K69" s="58" t="s">
        <v>600</v>
      </c>
      <c r="L69" s="58"/>
      <c r="M69" s="58"/>
      <c r="N69" s="58"/>
      <c r="O69" s="59" t="s">
        <v>269</v>
      </c>
      <c r="P69" s="59"/>
      <c r="Q69" s="59"/>
      <c r="R69" s="59"/>
      <c r="S69" s="59"/>
      <c r="T69" s="59"/>
      <c r="U69" s="59"/>
      <c r="V69" s="59"/>
      <c r="W69" s="59"/>
      <c r="X69" s="58" t="s">
        <v>601</v>
      </c>
      <c r="Y69" s="58"/>
    </row>
    <row r="70" spans="1:25" ht="24" customHeight="1" x14ac:dyDescent="0.2"/>
    <row r="71" spans="1:25" ht="54" customHeight="1" x14ac:dyDescent="0.2">
      <c r="A71" s="37">
        <f>'Invetario de Tablas'!A11</f>
        <v>8</v>
      </c>
      <c r="B71" s="38" t="s">
        <v>177</v>
      </c>
      <c r="C71" s="52" t="str">
        <f>'Invetario de Tablas'!B11</f>
        <v>tipo_reaccion</v>
      </c>
      <c r="D71" s="52"/>
      <c r="E71" s="52"/>
      <c r="F71" s="52"/>
      <c r="G71" s="53" t="s">
        <v>178</v>
      </c>
      <c r="H71" s="53"/>
      <c r="I71" s="53"/>
      <c r="J71" s="53"/>
      <c r="K71" s="54" t="str">
        <f>'Invetario de Tablas'!C11</f>
        <v>Catálogo de tipos de reacción (me gusta, me encanta, útil, interesante).</v>
      </c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39" t="s">
        <v>255</v>
      </c>
      <c r="Y71" s="32" t="s">
        <v>590</v>
      </c>
    </row>
    <row r="72" spans="1:25" ht="45" customHeight="1" x14ac:dyDescent="0.2">
      <c r="A72" s="40" t="s">
        <v>1</v>
      </c>
      <c r="B72" s="41" t="s">
        <v>257</v>
      </c>
      <c r="C72" s="55" t="s">
        <v>258</v>
      </c>
      <c r="D72" s="55"/>
      <c r="E72" s="55"/>
      <c r="F72" s="55"/>
      <c r="G72" s="56" t="s">
        <v>591</v>
      </c>
      <c r="H72" s="56"/>
      <c r="I72" s="56"/>
      <c r="J72" s="56"/>
      <c r="K72" s="55" t="s">
        <v>260</v>
      </c>
      <c r="L72" s="55"/>
      <c r="M72" s="55"/>
      <c r="N72" s="55"/>
      <c r="O72" s="55" t="s">
        <v>261</v>
      </c>
      <c r="P72" s="55"/>
      <c r="Q72" s="55"/>
      <c r="R72" s="55" t="s">
        <v>262</v>
      </c>
      <c r="S72" s="55"/>
      <c r="T72" s="55" t="s">
        <v>263</v>
      </c>
      <c r="U72" s="55"/>
      <c r="V72" s="55" t="s">
        <v>264</v>
      </c>
      <c r="W72" s="55"/>
      <c r="X72" s="57" t="s">
        <v>265</v>
      </c>
      <c r="Y72" s="57"/>
    </row>
    <row r="73" spans="1:25" ht="48" customHeight="1" x14ac:dyDescent="0.2">
      <c r="A73" s="42">
        <v>1</v>
      </c>
      <c r="B73" s="43" t="s">
        <v>386</v>
      </c>
      <c r="C73" s="58" t="s">
        <v>387</v>
      </c>
      <c r="D73" s="58"/>
      <c r="E73" s="58"/>
      <c r="F73" s="58"/>
      <c r="G73" s="58" t="s">
        <v>592</v>
      </c>
      <c r="H73" s="58"/>
      <c r="I73" s="58"/>
      <c r="J73" s="58"/>
      <c r="K73" s="58" t="s">
        <v>80</v>
      </c>
      <c r="L73" s="58"/>
      <c r="M73" s="58"/>
      <c r="N73" s="58"/>
      <c r="O73" s="59" t="s">
        <v>269</v>
      </c>
      <c r="P73" s="59"/>
      <c r="Q73" s="59"/>
      <c r="R73" s="59" t="s">
        <v>270</v>
      </c>
      <c r="S73" s="59"/>
      <c r="T73" s="59"/>
      <c r="U73" s="59"/>
      <c r="V73" s="59"/>
      <c r="W73" s="59"/>
      <c r="X73" s="49" t="s">
        <v>637</v>
      </c>
      <c r="Y73" s="49"/>
    </row>
    <row r="74" spans="1:25" ht="48" customHeight="1" x14ac:dyDescent="0.2">
      <c r="A74" s="42">
        <v>2</v>
      </c>
      <c r="B74" s="43" t="s">
        <v>388</v>
      </c>
      <c r="C74" s="58" t="s">
        <v>389</v>
      </c>
      <c r="D74" s="58"/>
      <c r="E74" s="58"/>
      <c r="F74" s="58"/>
      <c r="G74" s="58" t="s">
        <v>357</v>
      </c>
      <c r="H74" s="58"/>
      <c r="I74" s="58"/>
      <c r="J74" s="58"/>
      <c r="K74" s="58" t="s">
        <v>358</v>
      </c>
      <c r="L74" s="58"/>
      <c r="M74" s="58"/>
      <c r="N74" s="58"/>
      <c r="O74" s="59" t="s">
        <v>269</v>
      </c>
      <c r="P74" s="59"/>
      <c r="Q74" s="59"/>
      <c r="R74" s="59"/>
      <c r="S74" s="59"/>
      <c r="T74" s="59"/>
      <c r="U74" s="59"/>
      <c r="V74" s="59" t="s">
        <v>270</v>
      </c>
      <c r="W74" s="59"/>
      <c r="X74" s="58"/>
      <c r="Y74" s="58"/>
    </row>
    <row r="75" spans="1:25" ht="69" customHeight="1" x14ac:dyDescent="0.2">
      <c r="A75" s="42">
        <v>3</v>
      </c>
      <c r="B75" s="43" t="s">
        <v>390</v>
      </c>
      <c r="C75" s="58" t="s">
        <v>391</v>
      </c>
      <c r="D75" s="58"/>
      <c r="E75" s="58"/>
      <c r="F75" s="58"/>
      <c r="G75" s="58" t="s">
        <v>281</v>
      </c>
      <c r="H75" s="58"/>
      <c r="I75" s="58"/>
      <c r="J75" s="58"/>
      <c r="K75" s="58" t="s">
        <v>282</v>
      </c>
      <c r="L75" s="58"/>
      <c r="M75" s="58"/>
      <c r="N75" s="58"/>
      <c r="O75" s="59" t="s">
        <v>283</v>
      </c>
      <c r="P75" s="59"/>
      <c r="Q75" s="59"/>
      <c r="R75" s="59"/>
      <c r="S75" s="59"/>
      <c r="T75" s="59"/>
      <c r="U75" s="59"/>
      <c r="V75" s="59"/>
      <c r="W75" s="59"/>
      <c r="X75" s="58"/>
      <c r="Y75" s="58"/>
    </row>
    <row r="76" spans="1:25" ht="48" customHeight="1" x14ac:dyDescent="0.2">
      <c r="A76" s="42">
        <v>4</v>
      </c>
      <c r="B76" s="43" t="s">
        <v>284</v>
      </c>
      <c r="C76" s="58" t="s">
        <v>361</v>
      </c>
      <c r="D76" s="58"/>
      <c r="E76" s="58"/>
      <c r="F76" s="58"/>
      <c r="G76" s="58" t="s">
        <v>47</v>
      </c>
      <c r="H76" s="58"/>
      <c r="I76" s="58"/>
      <c r="J76" s="58"/>
      <c r="K76" s="58" t="s">
        <v>49</v>
      </c>
      <c r="L76" s="58"/>
      <c r="M76" s="58"/>
      <c r="N76" s="58"/>
      <c r="O76" s="59" t="s">
        <v>269</v>
      </c>
      <c r="P76" s="59"/>
      <c r="Q76" s="59"/>
      <c r="R76" s="59"/>
      <c r="S76" s="59"/>
      <c r="T76" s="59"/>
      <c r="U76" s="59"/>
      <c r="V76" s="59"/>
      <c r="W76" s="59"/>
      <c r="X76" s="58" t="s">
        <v>286</v>
      </c>
      <c r="Y76" s="58"/>
    </row>
    <row r="77" spans="1:25" ht="48" customHeight="1" x14ac:dyDescent="0.2">
      <c r="A77" s="42">
        <v>5</v>
      </c>
      <c r="B77" s="43" t="s">
        <v>392</v>
      </c>
      <c r="C77" s="58" t="s">
        <v>393</v>
      </c>
      <c r="D77" s="58"/>
      <c r="E77" s="58"/>
      <c r="F77" s="58"/>
      <c r="G77" s="58" t="s">
        <v>310</v>
      </c>
      <c r="H77" s="58"/>
      <c r="I77" s="58"/>
      <c r="J77" s="58"/>
      <c r="K77" s="58" t="s">
        <v>311</v>
      </c>
      <c r="L77" s="58"/>
      <c r="M77" s="58"/>
      <c r="N77" s="58"/>
      <c r="O77" s="59" t="s">
        <v>283</v>
      </c>
      <c r="P77" s="59"/>
      <c r="Q77" s="59"/>
      <c r="R77" s="59"/>
      <c r="S77" s="59"/>
      <c r="T77" s="59"/>
      <c r="U77" s="59"/>
      <c r="V77" s="59"/>
      <c r="W77" s="59"/>
      <c r="X77" s="58"/>
      <c r="Y77" s="58"/>
    </row>
    <row r="78" spans="1:25" ht="24" customHeight="1" x14ac:dyDescent="0.2"/>
    <row r="79" spans="1:25" ht="54" customHeight="1" x14ac:dyDescent="0.2">
      <c r="A79" s="37">
        <f>'Invetario de Tablas'!A12</f>
        <v>9</v>
      </c>
      <c r="B79" s="38" t="s">
        <v>177</v>
      </c>
      <c r="C79" s="52" t="str">
        <f>'Invetario de Tablas'!B12</f>
        <v>reaccion</v>
      </c>
      <c r="D79" s="52"/>
      <c r="E79" s="52"/>
      <c r="F79" s="52"/>
      <c r="G79" s="53" t="s">
        <v>178</v>
      </c>
      <c r="H79" s="53"/>
      <c r="I79" s="53"/>
      <c r="J79" s="53"/>
      <c r="K79" s="54" t="str">
        <f>'Invetario de Tablas'!C12</f>
        <v>Interacciones o reacciones tipo "like" dadas en las publicaciones.</v>
      </c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39" t="s">
        <v>255</v>
      </c>
      <c r="Y79" s="32" t="s">
        <v>590</v>
      </c>
    </row>
    <row r="80" spans="1:25" ht="45" customHeight="1" x14ac:dyDescent="0.2">
      <c r="A80" s="40" t="s">
        <v>1</v>
      </c>
      <c r="B80" s="41" t="s">
        <v>257</v>
      </c>
      <c r="C80" s="55" t="s">
        <v>258</v>
      </c>
      <c r="D80" s="55"/>
      <c r="E80" s="55"/>
      <c r="F80" s="55"/>
      <c r="G80" s="56" t="s">
        <v>591</v>
      </c>
      <c r="H80" s="56"/>
      <c r="I80" s="56"/>
      <c r="J80" s="56"/>
      <c r="K80" s="55" t="s">
        <v>260</v>
      </c>
      <c r="L80" s="55"/>
      <c r="M80" s="55"/>
      <c r="N80" s="55"/>
      <c r="O80" s="55" t="s">
        <v>261</v>
      </c>
      <c r="P80" s="55"/>
      <c r="Q80" s="55"/>
      <c r="R80" s="55" t="s">
        <v>262</v>
      </c>
      <c r="S80" s="55"/>
      <c r="T80" s="55" t="s">
        <v>263</v>
      </c>
      <c r="U80" s="55"/>
      <c r="V80" s="55" t="s">
        <v>264</v>
      </c>
      <c r="W80" s="55"/>
      <c r="X80" s="57" t="s">
        <v>265</v>
      </c>
      <c r="Y80" s="57"/>
    </row>
    <row r="81" spans="1:25" ht="48" customHeight="1" x14ac:dyDescent="0.2">
      <c r="A81" s="42">
        <v>1</v>
      </c>
      <c r="B81" s="43" t="s">
        <v>362</v>
      </c>
      <c r="C81" s="58" t="s">
        <v>394</v>
      </c>
      <c r="D81" s="58"/>
      <c r="E81" s="58"/>
      <c r="F81" s="58"/>
      <c r="G81" s="58" t="s">
        <v>334</v>
      </c>
      <c r="H81" s="58"/>
      <c r="I81" s="58"/>
      <c r="J81" s="58"/>
      <c r="K81" s="58" t="s">
        <v>89</v>
      </c>
      <c r="L81" s="58"/>
      <c r="M81" s="58"/>
      <c r="N81" s="58"/>
      <c r="O81" s="59" t="s">
        <v>269</v>
      </c>
      <c r="P81" s="59"/>
      <c r="Q81" s="59"/>
      <c r="R81" s="59" t="s">
        <v>270</v>
      </c>
      <c r="S81" s="59"/>
      <c r="T81" s="59" t="s">
        <v>270</v>
      </c>
      <c r="U81" s="59"/>
      <c r="V81" s="59"/>
      <c r="W81" s="59"/>
      <c r="X81" s="58" t="s">
        <v>377</v>
      </c>
      <c r="Y81" s="58"/>
    </row>
    <row r="82" spans="1:25" ht="69" customHeight="1" x14ac:dyDescent="0.2">
      <c r="A82" s="42">
        <v>2</v>
      </c>
      <c r="B82" s="43" t="s">
        <v>297</v>
      </c>
      <c r="C82" s="58" t="s">
        <v>395</v>
      </c>
      <c r="D82" s="58"/>
      <c r="E82" s="58"/>
      <c r="F82" s="58"/>
      <c r="G82" s="58" t="s">
        <v>334</v>
      </c>
      <c r="H82" s="58"/>
      <c r="I82" s="58"/>
      <c r="J82" s="58"/>
      <c r="K82" s="58" t="s">
        <v>89</v>
      </c>
      <c r="L82" s="58"/>
      <c r="M82" s="58"/>
      <c r="N82" s="58"/>
      <c r="O82" s="59" t="s">
        <v>269</v>
      </c>
      <c r="P82" s="59"/>
      <c r="Q82" s="59"/>
      <c r="R82" s="59" t="s">
        <v>270</v>
      </c>
      <c r="S82" s="59"/>
      <c r="T82" s="59" t="s">
        <v>270</v>
      </c>
      <c r="U82" s="59"/>
      <c r="V82" s="59"/>
      <c r="W82" s="59"/>
      <c r="X82" s="58" t="s">
        <v>396</v>
      </c>
      <c r="Y82" s="58"/>
    </row>
    <row r="83" spans="1:25" ht="48" customHeight="1" x14ac:dyDescent="0.2">
      <c r="A83" s="42">
        <v>3</v>
      </c>
      <c r="B83" s="43" t="s">
        <v>386</v>
      </c>
      <c r="C83" s="58" t="s">
        <v>397</v>
      </c>
      <c r="D83" s="58"/>
      <c r="E83" s="58"/>
      <c r="F83" s="58"/>
      <c r="G83" s="58" t="s">
        <v>598</v>
      </c>
      <c r="H83" s="58"/>
      <c r="I83" s="58"/>
      <c r="J83" s="58"/>
      <c r="K83" s="58" t="s">
        <v>80</v>
      </c>
      <c r="L83" s="58"/>
      <c r="M83" s="58"/>
      <c r="N83" s="58"/>
      <c r="O83" s="59" t="s">
        <v>269</v>
      </c>
      <c r="P83" s="59"/>
      <c r="Q83" s="59"/>
      <c r="R83" s="59"/>
      <c r="S83" s="59"/>
      <c r="T83" s="59" t="s">
        <v>270</v>
      </c>
      <c r="U83" s="59"/>
      <c r="V83" s="59"/>
      <c r="W83" s="59"/>
      <c r="X83" s="58" t="s">
        <v>398</v>
      </c>
      <c r="Y83" s="58"/>
    </row>
    <row r="84" spans="1:25" ht="48" customHeight="1" x14ac:dyDescent="0.2">
      <c r="A84" s="42">
        <v>4</v>
      </c>
      <c r="B84" s="43" t="s">
        <v>399</v>
      </c>
      <c r="C84" s="58" t="s">
        <v>400</v>
      </c>
      <c r="D84" s="58"/>
      <c r="E84" s="58"/>
      <c r="F84" s="58"/>
      <c r="G84" s="58" t="s">
        <v>599</v>
      </c>
      <c r="H84" s="58"/>
      <c r="I84" s="58"/>
      <c r="J84" s="58"/>
      <c r="K84" s="58" t="s">
        <v>600</v>
      </c>
      <c r="L84" s="58"/>
      <c r="M84" s="58"/>
      <c r="N84" s="58"/>
      <c r="O84" s="59" t="s">
        <v>269</v>
      </c>
      <c r="P84" s="59"/>
      <c r="Q84" s="59"/>
      <c r="R84" s="59"/>
      <c r="S84" s="59"/>
      <c r="T84" s="59"/>
      <c r="U84" s="59"/>
      <c r="V84" s="59"/>
      <c r="W84" s="59"/>
      <c r="X84" s="58" t="s">
        <v>601</v>
      </c>
      <c r="Y84" s="58"/>
    </row>
    <row r="85" spans="1:25" ht="24" customHeight="1" x14ac:dyDescent="0.2"/>
    <row r="86" spans="1:25" ht="54" customHeight="1" x14ac:dyDescent="0.2">
      <c r="A86" s="37">
        <f>'Invetario de Tablas'!A13</f>
        <v>10</v>
      </c>
      <c r="B86" s="38" t="s">
        <v>177</v>
      </c>
      <c r="C86" s="52" t="str">
        <f>'Invetario de Tablas'!B13</f>
        <v>multimedia</v>
      </c>
      <c r="D86" s="52"/>
      <c r="E86" s="52"/>
      <c r="F86" s="52"/>
      <c r="G86" s="53" t="s">
        <v>178</v>
      </c>
      <c r="H86" s="53"/>
      <c r="I86" s="53"/>
      <c r="J86" s="53"/>
      <c r="K86" s="54" t="str">
        <f>'Invetario de Tablas'!C13</f>
        <v>Archivos (imágenes/documentos/videos) adjuntos a una publicación.</v>
      </c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39" t="s">
        <v>255</v>
      </c>
      <c r="Y86" s="32" t="s">
        <v>590</v>
      </c>
    </row>
    <row r="87" spans="1:25" ht="45" customHeight="1" x14ac:dyDescent="0.2">
      <c r="A87" s="40" t="s">
        <v>1</v>
      </c>
      <c r="B87" s="41" t="s">
        <v>257</v>
      </c>
      <c r="C87" s="55" t="s">
        <v>258</v>
      </c>
      <c r="D87" s="55"/>
      <c r="E87" s="55"/>
      <c r="F87" s="55"/>
      <c r="G87" s="56" t="s">
        <v>591</v>
      </c>
      <c r="H87" s="56"/>
      <c r="I87" s="56"/>
      <c r="J87" s="56"/>
      <c r="K87" s="55" t="s">
        <v>260</v>
      </c>
      <c r="L87" s="55"/>
      <c r="M87" s="55"/>
      <c r="N87" s="55"/>
      <c r="O87" s="55" t="s">
        <v>261</v>
      </c>
      <c r="P87" s="55"/>
      <c r="Q87" s="55"/>
      <c r="R87" s="55" t="s">
        <v>262</v>
      </c>
      <c r="S87" s="55"/>
      <c r="T87" s="55" t="s">
        <v>263</v>
      </c>
      <c r="U87" s="55"/>
      <c r="V87" s="55" t="s">
        <v>264</v>
      </c>
      <c r="W87" s="55"/>
      <c r="X87" s="57" t="s">
        <v>265</v>
      </c>
      <c r="Y87" s="57"/>
    </row>
    <row r="88" spans="1:25" ht="48" customHeight="1" x14ac:dyDescent="0.2">
      <c r="A88" s="42">
        <v>1</v>
      </c>
      <c r="B88" s="43" t="s">
        <v>362</v>
      </c>
      <c r="C88" s="58" t="s">
        <v>401</v>
      </c>
      <c r="D88" s="58"/>
      <c r="E88" s="58"/>
      <c r="F88" s="58"/>
      <c r="G88" s="58" t="s">
        <v>334</v>
      </c>
      <c r="H88" s="58"/>
      <c r="I88" s="58"/>
      <c r="J88" s="58"/>
      <c r="K88" s="58" t="s">
        <v>89</v>
      </c>
      <c r="L88" s="58"/>
      <c r="M88" s="58"/>
      <c r="N88" s="58"/>
      <c r="O88" s="59" t="s">
        <v>269</v>
      </c>
      <c r="P88" s="59"/>
      <c r="Q88" s="59"/>
      <c r="R88" s="59" t="s">
        <v>270</v>
      </c>
      <c r="S88" s="59"/>
      <c r="T88" s="59" t="s">
        <v>270</v>
      </c>
      <c r="U88" s="59"/>
      <c r="V88" s="59"/>
      <c r="W88" s="59"/>
      <c r="X88" s="58" t="s">
        <v>377</v>
      </c>
      <c r="Y88" s="58"/>
    </row>
    <row r="89" spans="1:25" ht="48" customHeight="1" x14ac:dyDescent="0.2">
      <c r="A89" s="42">
        <v>2</v>
      </c>
      <c r="B89" s="43" t="s">
        <v>402</v>
      </c>
      <c r="C89" s="58" t="s">
        <v>403</v>
      </c>
      <c r="D89" s="58"/>
      <c r="E89" s="58"/>
      <c r="F89" s="58"/>
      <c r="G89" s="58" t="s">
        <v>598</v>
      </c>
      <c r="H89" s="58"/>
      <c r="I89" s="58"/>
      <c r="J89" s="58"/>
      <c r="K89" s="58" t="s">
        <v>80</v>
      </c>
      <c r="L89" s="58"/>
      <c r="M89" s="58"/>
      <c r="N89" s="58"/>
      <c r="O89" s="59" t="s">
        <v>269</v>
      </c>
      <c r="P89" s="59"/>
      <c r="Q89" s="59"/>
      <c r="R89" s="59" t="s">
        <v>270</v>
      </c>
      <c r="S89" s="59"/>
      <c r="T89" s="59"/>
      <c r="U89" s="59"/>
      <c r="V89" s="59"/>
      <c r="W89" s="59"/>
      <c r="X89" s="58" t="s">
        <v>380</v>
      </c>
      <c r="Y89" s="58"/>
    </row>
    <row r="90" spans="1:25" ht="48" customHeight="1" x14ac:dyDescent="0.2">
      <c r="A90" s="42">
        <v>3</v>
      </c>
      <c r="B90" s="43" t="s">
        <v>404</v>
      </c>
      <c r="C90" s="58" t="s">
        <v>405</v>
      </c>
      <c r="D90" s="58"/>
      <c r="E90" s="58"/>
      <c r="F90" s="58"/>
      <c r="G90" s="58" t="s">
        <v>603</v>
      </c>
      <c r="H90" s="58"/>
      <c r="I90" s="58"/>
      <c r="J90" s="58"/>
      <c r="K90" s="58" t="s">
        <v>122</v>
      </c>
      <c r="L90" s="58"/>
      <c r="M90" s="58"/>
      <c r="N90" s="58"/>
      <c r="O90" s="59" t="s">
        <v>269</v>
      </c>
      <c r="P90" s="59"/>
      <c r="Q90" s="59"/>
      <c r="R90" s="59"/>
      <c r="S90" s="59"/>
      <c r="T90" s="59"/>
      <c r="U90" s="59"/>
      <c r="V90" s="59"/>
      <c r="W90" s="59"/>
      <c r="X90" s="58"/>
      <c r="Y90" s="58"/>
    </row>
    <row r="91" spans="1:25" ht="69" customHeight="1" x14ac:dyDescent="0.2">
      <c r="A91" s="42">
        <v>4</v>
      </c>
      <c r="B91" s="43" t="s">
        <v>408</v>
      </c>
      <c r="C91" s="58" t="s">
        <v>409</v>
      </c>
      <c r="D91" s="58"/>
      <c r="E91" s="58"/>
      <c r="F91" s="58"/>
      <c r="G91" s="58" t="s">
        <v>338</v>
      </c>
      <c r="H91" s="58"/>
      <c r="I91" s="58"/>
      <c r="J91" s="58"/>
      <c r="K91" s="58" t="s">
        <v>339</v>
      </c>
      <c r="L91" s="58"/>
      <c r="M91" s="58"/>
      <c r="N91" s="58"/>
      <c r="O91" s="59" t="s">
        <v>269</v>
      </c>
      <c r="P91" s="59"/>
      <c r="Q91" s="59"/>
      <c r="R91" s="59"/>
      <c r="S91" s="59"/>
      <c r="T91" s="59"/>
      <c r="U91" s="59"/>
      <c r="V91" s="59"/>
      <c r="W91" s="59"/>
      <c r="X91" s="58"/>
      <c r="Y91" s="58"/>
    </row>
    <row r="92" spans="1:25" ht="48" customHeight="1" x14ac:dyDescent="0.2">
      <c r="A92" s="42">
        <v>5</v>
      </c>
      <c r="B92" s="43" t="s">
        <v>410</v>
      </c>
      <c r="C92" s="58" t="s">
        <v>411</v>
      </c>
      <c r="D92" s="58"/>
      <c r="E92" s="58"/>
      <c r="F92" s="58"/>
      <c r="G92" s="58" t="s">
        <v>281</v>
      </c>
      <c r="H92" s="58"/>
      <c r="I92" s="58"/>
      <c r="J92" s="58"/>
      <c r="K92" s="58" t="s">
        <v>282</v>
      </c>
      <c r="L92" s="58"/>
      <c r="M92" s="58"/>
      <c r="N92" s="58"/>
      <c r="O92" s="59" t="s">
        <v>283</v>
      </c>
      <c r="P92" s="59"/>
      <c r="Q92" s="59"/>
      <c r="R92" s="59"/>
      <c r="S92" s="59"/>
      <c r="T92" s="59"/>
      <c r="U92" s="59"/>
      <c r="V92" s="59"/>
      <c r="W92" s="59"/>
      <c r="X92" s="58"/>
      <c r="Y92" s="58"/>
    </row>
    <row r="93" spans="1:25" ht="48" customHeight="1" x14ac:dyDescent="0.2">
      <c r="A93" s="42">
        <v>6</v>
      </c>
      <c r="B93" s="43" t="s">
        <v>412</v>
      </c>
      <c r="C93" s="58" t="s">
        <v>413</v>
      </c>
      <c r="D93" s="58"/>
      <c r="E93" s="58"/>
      <c r="F93" s="58"/>
      <c r="G93" s="58" t="s">
        <v>599</v>
      </c>
      <c r="H93" s="58"/>
      <c r="I93" s="58"/>
      <c r="J93" s="58"/>
      <c r="K93" s="58" t="s">
        <v>600</v>
      </c>
      <c r="L93" s="58"/>
      <c r="M93" s="58"/>
      <c r="N93" s="58"/>
      <c r="O93" s="59" t="s">
        <v>269</v>
      </c>
      <c r="P93" s="59"/>
      <c r="Q93" s="59"/>
      <c r="R93" s="59"/>
      <c r="S93" s="59"/>
      <c r="T93" s="59"/>
      <c r="U93" s="59"/>
      <c r="V93" s="59"/>
      <c r="W93" s="59"/>
      <c r="X93" s="58" t="s">
        <v>601</v>
      </c>
      <c r="Y93" s="58"/>
    </row>
    <row r="94" spans="1:25" ht="24" customHeight="1" x14ac:dyDescent="0.2"/>
    <row r="95" spans="1:25" ht="54" customHeight="1" x14ac:dyDescent="0.2">
      <c r="A95" s="37">
        <f>'Invetario de Tablas'!A14</f>
        <v>11</v>
      </c>
      <c r="B95" s="38" t="s">
        <v>177</v>
      </c>
      <c r="C95" s="52" t="str">
        <f>'Invetario de Tablas'!B14</f>
        <v>tipo_grupo</v>
      </c>
      <c r="D95" s="52"/>
      <c r="E95" s="52"/>
      <c r="F95" s="52"/>
      <c r="G95" s="53" t="s">
        <v>178</v>
      </c>
      <c r="H95" s="53"/>
      <c r="I95" s="53"/>
      <c r="J95" s="53"/>
      <c r="K95" s="54" t="str">
        <f>'Invetario de Tablas'!C14</f>
        <v>Catálogo de tipos de grupo (estudio, hackaton, club de interés).</v>
      </c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39" t="s">
        <v>255</v>
      </c>
      <c r="Y95" s="32" t="s">
        <v>590</v>
      </c>
    </row>
    <row r="96" spans="1:25" ht="45" customHeight="1" x14ac:dyDescent="0.2">
      <c r="A96" s="40" t="s">
        <v>1</v>
      </c>
      <c r="B96" s="41" t="s">
        <v>257</v>
      </c>
      <c r="C96" s="55" t="s">
        <v>258</v>
      </c>
      <c r="D96" s="55"/>
      <c r="E96" s="55"/>
      <c r="F96" s="55"/>
      <c r="G96" s="56" t="s">
        <v>591</v>
      </c>
      <c r="H96" s="56"/>
      <c r="I96" s="56"/>
      <c r="J96" s="56"/>
      <c r="K96" s="55" t="s">
        <v>260</v>
      </c>
      <c r="L96" s="55"/>
      <c r="M96" s="55"/>
      <c r="N96" s="55"/>
      <c r="O96" s="55" t="s">
        <v>261</v>
      </c>
      <c r="P96" s="55"/>
      <c r="Q96" s="55"/>
      <c r="R96" s="55" t="s">
        <v>262</v>
      </c>
      <c r="S96" s="55"/>
      <c r="T96" s="55" t="s">
        <v>263</v>
      </c>
      <c r="U96" s="55"/>
      <c r="V96" s="55" t="s">
        <v>264</v>
      </c>
      <c r="W96" s="55"/>
      <c r="X96" s="57" t="s">
        <v>265</v>
      </c>
      <c r="Y96" s="57"/>
    </row>
    <row r="97" spans="1:25" ht="48" customHeight="1" x14ac:dyDescent="0.2">
      <c r="A97" s="42">
        <v>1</v>
      </c>
      <c r="B97" s="43" t="s">
        <v>414</v>
      </c>
      <c r="C97" s="58" t="s">
        <v>415</v>
      </c>
      <c r="D97" s="58"/>
      <c r="E97" s="58"/>
      <c r="F97" s="58"/>
      <c r="G97" s="58" t="s">
        <v>592</v>
      </c>
      <c r="H97" s="58"/>
      <c r="I97" s="58"/>
      <c r="J97" s="58"/>
      <c r="K97" s="58" t="s">
        <v>80</v>
      </c>
      <c r="L97" s="58"/>
      <c r="M97" s="58"/>
      <c r="N97" s="58"/>
      <c r="O97" s="59" t="s">
        <v>269</v>
      </c>
      <c r="P97" s="59"/>
      <c r="Q97" s="59"/>
      <c r="R97" s="59" t="s">
        <v>270</v>
      </c>
      <c r="S97" s="59"/>
      <c r="T97" s="59"/>
      <c r="U97" s="59"/>
      <c r="V97" s="59"/>
      <c r="W97" s="59"/>
      <c r="X97" s="49" t="s">
        <v>637</v>
      </c>
      <c r="Y97" s="49"/>
    </row>
    <row r="98" spans="1:25" ht="30" customHeight="1" x14ac:dyDescent="0.2">
      <c r="A98" s="42">
        <v>2</v>
      </c>
      <c r="B98" s="43" t="s">
        <v>416</v>
      </c>
      <c r="C98" s="58" t="s">
        <v>417</v>
      </c>
      <c r="D98" s="58"/>
      <c r="E98" s="58"/>
      <c r="F98" s="58"/>
      <c r="G98" s="58" t="s">
        <v>357</v>
      </c>
      <c r="H98" s="58"/>
      <c r="I98" s="58"/>
      <c r="J98" s="58"/>
      <c r="K98" s="58" t="s">
        <v>358</v>
      </c>
      <c r="L98" s="58"/>
      <c r="M98" s="58"/>
      <c r="N98" s="58"/>
      <c r="O98" s="59" t="s">
        <v>269</v>
      </c>
      <c r="P98" s="59"/>
      <c r="Q98" s="59"/>
      <c r="R98" s="59"/>
      <c r="S98" s="59"/>
      <c r="T98" s="59"/>
      <c r="U98" s="59"/>
      <c r="V98" s="59" t="s">
        <v>270</v>
      </c>
      <c r="W98" s="59"/>
      <c r="X98" s="58"/>
      <c r="Y98" s="58"/>
    </row>
    <row r="99" spans="1:25" ht="69" customHeight="1" x14ac:dyDescent="0.2">
      <c r="A99" s="42">
        <v>3</v>
      </c>
      <c r="B99" s="43" t="s">
        <v>418</v>
      </c>
      <c r="C99" s="58" t="s">
        <v>419</v>
      </c>
      <c r="D99" s="58"/>
      <c r="E99" s="58"/>
      <c r="F99" s="58"/>
      <c r="G99" s="58" t="s">
        <v>281</v>
      </c>
      <c r="H99" s="58"/>
      <c r="I99" s="58"/>
      <c r="J99" s="58"/>
      <c r="K99" s="58" t="s">
        <v>282</v>
      </c>
      <c r="L99" s="58"/>
      <c r="M99" s="58"/>
      <c r="N99" s="58"/>
      <c r="O99" s="59" t="s">
        <v>283</v>
      </c>
      <c r="P99" s="59"/>
      <c r="Q99" s="59"/>
      <c r="R99" s="59"/>
      <c r="S99" s="59"/>
      <c r="T99" s="59"/>
      <c r="U99" s="59"/>
      <c r="V99" s="59"/>
      <c r="W99" s="59"/>
      <c r="X99" s="58"/>
      <c r="Y99" s="58"/>
    </row>
    <row r="100" spans="1:25" ht="48" customHeight="1" x14ac:dyDescent="0.2">
      <c r="A100" s="42">
        <v>4</v>
      </c>
      <c r="B100" s="43" t="s">
        <v>284</v>
      </c>
      <c r="C100" s="58" t="s">
        <v>361</v>
      </c>
      <c r="D100" s="58"/>
      <c r="E100" s="58"/>
      <c r="F100" s="58"/>
      <c r="G100" s="58" t="s">
        <v>47</v>
      </c>
      <c r="H100" s="58"/>
      <c r="I100" s="58"/>
      <c r="J100" s="58"/>
      <c r="K100" s="58" t="s">
        <v>49</v>
      </c>
      <c r="L100" s="58"/>
      <c r="M100" s="58"/>
      <c r="N100" s="58"/>
      <c r="O100" s="59" t="s">
        <v>269</v>
      </c>
      <c r="P100" s="59"/>
      <c r="Q100" s="59"/>
      <c r="R100" s="59"/>
      <c r="S100" s="59"/>
      <c r="T100" s="59"/>
      <c r="U100" s="59"/>
      <c r="V100" s="59"/>
      <c r="W100" s="59"/>
      <c r="X100" s="58" t="s">
        <v>286</v>
      </c>
      <c r="Y100" s="58"/>
    </row>
    <row r="101" spans="1:25" ht="24" customHeight="1" x14ac:dyDescent="0.2"/>
    <row r="102" spans="1:25" ht="54" customHeight="1" x14ac:dyDescent="0.2">
      <c r="A102" s="37">
        <f>'Invetario de Tablas'!A15</f>
        <v>12</v>
      </c>
      <c r="B102" s="38" t="s">
        <v>177</v>
      </c>
      <c r="C102" s="52" t="str">
        <f>'Invetario de Tablas'!B15</f>
        <v>grupo</v>
      </c>
      <c r="D102" s="52"/>
      <c r="E102" s="52"/>
      <c r="F102" s="52"/>
      <c r="G102" s="53" t="s">
        <v>178</v>
      </c>
      <c r="H102" s="53"/>
      <c r="I102" s="53"/>
      <c r="J102" s="53"/>
      <c r="K102" s="54" t="str">
        <f>'Invetario de Tablas'!C15</f>
        <v>Grupos o comunidades creadas dentro de la plataforma.</v>
      </c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39" t="s">
        <v>255</v>
      </c>
      <c r="Y102" s="32" t="s">
        <v>590</v>
      </c>
    </row>
    <row r="103" spans="1:25" ht="45" customHeight="1" x14ac:dyDescent="0.2">
      <c r="A103" s="40" t="s">
        <v>1</v>
      </c>
      <c r="B103" s="41" t="s">
        <v>257</v>
      </c>
      <c r="C103" s="55" t="s">
        <v>258</v>
      </c>
      <c r="D103" s="55"/>
      <c r="E103" s="55"/>
      <c r="F103" s="55"/>
      <c r="G103" s="56" t="s">
        <v>591</v>
      </c>
      <c r="H103" s="56"/>
      <c r="I103" s="56"/>
      <c r="J103" s="56"/>
      <c r="K103" s="55" t="s">
        <v>260</v>
      </c>
      <c r="L103" s="55"/>
      <c r="M103" s="55"/>
      <c r="N103" s="55"/>
      <c r="O103" s="55" t="s">
        <v>261</v>
      </c>
      <c r="P103" s="55"/>
      <c r="Q103" s="55"/>
      <c r="R103" s="55" t="s">
        <v>262</v>
      </c>
      <c r="S103" s="55"/>
      <c r="T103" s="55" t="s">
        <v>263</v>
      </c>
      <c r="U103" s="55"/>
      <c r="V103" s="55" t="s">
        <v>264</v>
      </c>
      <c r="W103" s="55"/>
      <c r="X103" s="57" t="s">
        <v>265</v>
      </c>
      <c r="Y103" s="57"/>
    </row>
    <row r="104" spans="1:25" ht="30" customHeight="1" x14ac:dyDescent="0.2">
      <c r="A104" s="42">
        <v>1</v>
      </c>
      <c r="B104" s="43" t="s">
        <v>420</v>
      </c>
      <c r="C104" s="58" t="s">
        <v>421</v>
      </c>
      <c r="D104" s="58"/>
      <c r="E104" s="58"/>
      <c r="F104" s="58"/>
      <c r="G104" s="58" t="s">
        <v>594</v>
      </c>
      <c r="H104" s="58"/>
      <c r="I104" s="58"/>
      <c r="J104" s="58"/>
      <c r="K104" s="58" t="s">
        <v>89</v>
      </c>
      <c r="L104" s="58"/>
      <c r="M104" s="58"/>
      <c r="N104" s="58"/>
      <c r="O104" s="59" t="s">
        <v>269</v>
      </c>
      <c r="P104" s="59"/>
      <c r="Q104" s="59"/>
      <c r="R104" s="59" t="s">
        <v>270</v>
      </c>
      <c r="S104" s="59"/>
      <c r="T104" s="59"/>
      <c r="U104" s="59"/>
      <c r="V104" s="59"/>
      <c r="W104" s="59"/>
      <c r="X104" s="49" t="s">
        <v>637</v>
      </c>
      <c r="Y104" s="49"/>
    </row>
    <row r="105" spans="1:25" ht="48" customHeight="1" x14ac:dyDescent="0.2">
      <c r="A105" s="42">
        <v>2</v>
      </c>
      <c r="B105" s="43" t="s">
        <v>422</v>
      </c>
      <c r="C105" s="58" t="s">
        <v>423</v>
      </c>
      <c r="D105" s="58"/>
      <c r="E105" s="58"/>
      <c r="F105" s="58"/>
      <c r="G105" s="58" t="s">
        <v>334</v>
      </c>
      <c r="H105" s="58"/>
      <c r="I105" s="58"/>
      <c r="J105" s="58"/>
      <c r="K105" s="58" t="s">
        <v>89</v>
      </c>
      <c r="L105" s="58"/>
      <c r="M105" s="58"/>
      <c r="N105" s="58"/>
      <c r="O105" s="59" t="s">
        <v>269</v>
      </c>
      <c r="P105" s="59"/>
      <c r="Q105" s="59"/>
      <c r="R105" s="59"/>
      <c r="S105" s="59"/>
      <c r="T105" s="59" t="s">
        <v>270</v>
      </c>
      <c r="U105" s="59"/>
      <c r="V105" s="59"/>
      <c r="W105" s="59"/>
      <c r="X105" s="58" t="s">
        <v>335</v>
      </c>
      <c r="Y105" s="58"/>
    </row>
    <row r="106" spans="1:25" ht="48" customHeight="1" x14ac:dyDescent="0.2">
      <c r="A106" s="42">
        <v>3</v>
      </c>
      <c r="B106" s="43" t="s">
        <v>414</v>
      </c>
      <c r="C106" s="58" t="s">
        <v>424</v>
      </c>
      <c r="D106" s="58"/>
      <c r="E106" s="58"/>
      <c r="F106" s="58"/>
      <c r="G106" s="58" t="s">
        <v>598</v>
      </c>
      <c r="H106" s="58"/>
      <c r="I106" s="58"/>
      <c r="J106" s="58"/>
      <c r="K106" s="58" t="s">
        <v>80</v>
      </c>
      <c r="L106" s="58"/>
      <c r="M106" s="58"/>
      <c r="N106" s="58"/>
      <c r="O106" s="59" t="s">
        <v>269</v>
      </c>
      <c r="P106" s="59"/>
      <c r="Q106" s="59"/>
      <c r="R106" s="59"/>
      <c r="S106" s="59"/>
      <c r="T106" s="59" t="s">
        <v>270</v>
      </c>
      <c r="U106" s="59"/>
      <c r="V106" s="59"/>
      <c r="W106" s="59"/>
      <c r="X106" s="58" t="s">
        <v>425</v>
      </c>
      <c r="Y106" s="58"/>
    </row>
    <row r="107" spans="1:25" ht="48" customHeight="1" x14ac:dyDescent="0.2">
      <c r="A107" s="42">
        <v>4</v>
      </c>
      <c r="B107" s="43" t="s">
        <v>426</v>
      </c>
      <c r="C107" s="58" t="s">
        <v>427</v>
      </c>
      <c r="D107" s="58"/>
      <c r="E107" s="58"/>
      <c r="F107" s="58"/>
      <c r="G107" s="58" t="s">
        <v>344</v>
      </c>
      <c r="H107" s="58"/>
      <c r="I107" s="58"/>
      <c r="J107" s="58"/>
      <c r="K107" s="58" t="s">
        <v>345</v>
      </c>
      <c r="L107" s="58"/>
      <c r="M107" s="58"/>
      <c r="N107" s="58"/>
      <c r="O107" s="59" t="s">
        <v>269</v>
      </c>
      <c r="P107" s="59"/>
      <c r="Q107" s="59"/>
      <c r="R107" s="59"/>
      <c r="S107" s="59"/>
      <c r="T107" s="59"/>
      <c r="U107" s="59"/>
      <c r="V107" s="59" t="s">
        <v>270</v>
      </c>
      <c r="W107" s="59"/>
      <c r="X107" s="58"/>
      <c r="Y107" s="58"/>
    </row>
    <row r="108" spans="1:25" ht="69" customHeight="1" x14ac:dyDescent="0.2">
      <c r="A108" s="42">
        <v>5</v>
      </c>
      <c r="B108" s="43" t="s">
        <v>428</v>
      </c>
      <c r="C108" s="58" t="s">
        <v>429</v>
      </c>
      <c r="D108" s="58"/>
      <c r="E108" s="58"/>
      <c r="F108" s="58"/>
      <c r="G108" s="58" t="s">
        <v>57</v>
      </c>
      <c r="H108" s="58"/>
      <c r="I108" s="58"/>
      <c r="J108" s="58"/>
      <c r="K108" s="58" t="s">
        <v>602</v>
      </c>
      <c r="L108" s="58"/>
      <c r="M108" s="58"/>
      <c r="N108" s="58"/>
      <c r="O108" s="59" t="s">
        <v>283</v>
      </c>
      <c r="P108" s="59"/>
      <c r="Q108" s="59"/>
      <c r="R108" s="59"/>
      <c r="S108" s="59"/>
      <c r="T108" s="59"/>
      <c r="U108" s="59"/>
      <c r="V108" s="59"/>
      <c r="W108" s="59"/>
      <c r="X108" s="58"/>
      <c r="Y108" s="58"/>
    </row>
    <row r="109" spans="1:25" ht="48" customHeight="1" x14ac:dyDescent="0.2">
      <c r="A109" s="42">
        <v>6</v>
      </c>
      <c r="B109" s="43" t="s">
        <v>430</v>
      </c>
      <c r="C109" s="58" t="s">
        <v>431</v>
      </c>
      <c r="D109" s="58"/>
      <c r="E109" s="58"/>
      <c r="F109" s="58"/>
      <c r="G109" s="58" t="s">
        <v>324</v>
      </c>
      <c r="H109" s="58"/>
      <c r="I109" s="58"/>
      <c r="J109" s="58"/>
      <c r="K109" s="58" t="s">
        <v>325</v>
      </c>
      <c r="L109" s="58"/>
      <c r="M109" s="58"/>
      <c r="N109" s="58"/>
      <c r="O109" s="59" t="s">
        <v>283</v>
      </c>
      <c r="P109" s="59"/>
      <c r="Q109" s="59"/>
      <c r="R109" s="59"/>
      <c r="S109" s="59"/>
      <c r="T109" s="59"/>
      <c r="U109" s="59"/>
      <c r="V109" s="59"/>
      <c r="W109" s="59"/>
      <c r="X109" s="58"/>
      <c r="Y109" s="58"/>
    </row>
    <row r="110" spans="1:25" ht="48" customHeight="1" x14ac:dyDescent="0.2">
      <c r="A110" s="42">
        <v>7</v>
      </c>
      <c r="B110" s="43" t="s">
        <v>432</v>
      </c>
      <c r="C110" s="58" t="s">
        <v>433</v>
      </c>
      <c r="D110" s="58"/>
      <c r="E110" s="58"/>
      <c r="F110" s="58"/>
      <c r="G110" s="58" t="s">
        <v>599</v>
      </c>
      <c r="H110" s="58"/>
      <c r="I110" s="58"/>
      <c r="J110" s="58"/>
      <c r="K110" s="58" t="s">
        <v>600</v>
      </c>
      <c r="L110" s="58"/>
      <c r="M110" s="58"/>
      <c r="N110" s="58"/>
      <c r="O110" s="59" t="s">
        <v>269</v>
      </c>
      <c r="P110" s="59"/>
      <c r="Q110" s="59"/>
      <c r="R110" s="59"/>
      <c r="S110" s="59"/>
      <c r="T110" s="59"/>
      <c r="U110" s="59"/>
      <c r="V110" s="59"/>
      <c r="W110" s="59"/>
      <c r="X110" s="58" t="s">
        <v>601</v>
      </c>
      <c r="Y110" s="58"/>
    </row>
    <row r="111" spans="1:25" ht="48" customHeight="1" x14ac:dyDescent="0.2">
      <c r="A111" s="42">
        <v>8</v>
      </c>
      <c r="B111" s="43" t="s">
        <v>284</v>
      </c>
      <c r="C111" s="58" t="s">
        <v>434</v>
      </c>
      <c r="D111" s="58"/>
      <c r="E111" s="58"/>
      <c r="F111" s="58"/>
      <c r="G111" s="58" t="s">
        <v>47</v>
      </c>
      <c r="H111" s="58"/>
      <c r="I111" s="58"/>
      <c r="J111" s="58"/>
      <c r="K111" s="58" t="s">
        <v>49</v>
      </c>
      <c r="L111" s="58"/>
      <c r="M111" s="58"/>
      <c r="N111" s="58"/>
      <c r="O111" s="59" t="s">
        <v>269</v>
      </c>
      <c r="P111" s="59"/>
      <c r="Q111" s="59"/>
      <c r="R111" s="59"/>
      <c r="S111" s="59"/>
      <c r="T111" s="59"/>
      <c r="U111" s="59"/>
      <c r="V111" s="59"/>
      <c r="W111" s="59"/>
      <c r="X111" s="58" t="s">
        <v>286</v>
      </c>
      <c r="Y111" s="58"/>
    </row>
    <row r="112" spans="1:25" ht="24" customHeight="1" x14ac:dyDescent="0.2"/>
    <row r="113" spans="1:25" ht="54" customHeight="1" x14ac:dyDescent="0.2">
      <c r="A113" s="37">
        <f>'Invetario de Tablas'!A16</f>
        <v>13</v>
      </c>
      <c r="B113" s="38" t="s">
        <v>177</v>
      </c>
      <c r="C113" s="52" t="str">
        <f>'Invetario de Tablas'!B16</f>
        <v>usuario_grupo</v>
      </c>
      <c r="D113" s="52"/>
      <c r="E113" s="52"/>
      <c r="F113" s="52"/>
      <c r="G113" s="53" t="s">
        <v>178</v>
      </c>
      <c r="H113" s="53"/>
      <c r="I113" s="53"/>
      <c r="J113" s="53"/>
      <c r="K113" s="54" t="str">
        <f>'Invetario de Tablas'!C16</f>
        <v>Membresía y vinculación de usuarios a los diferentes grupos.</v>
      </c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39" t="s">
        <v>255</v>
      </c>
      <c r="Y113" s="32" t="s">
        <v>590</v>
      </c>
    </row>
    <row r="114" spans="1:25" ht="45" customHeight="1" x14ac:dyDescent="0.2">
      <c r="A114" s="40" t="s">
        <v>1</v>
      </c>
      <c r="B114" s="41" t="s">
        <v>257</v>
      </c>
      <c r="C114" s="55" t="s">
        <v>258</v>
      </c>
      <c r="D114" s="55"/>
      <c r="E114" s="55"/>
      <c r="F114" s="55"/>
      <c r="G114" s="56" t="s">
        <v>591</v>
      </c>
      <c r="H114" s="56"/>
      <c r="I114" s="56"/>
      <c r="J114" s="56"/>
      <c r="K114" s="55" t="s">
        <v>260</v>
      </c>
      <c r="L114" s="55"/>
      <c r="M114" s="55"/>
      <c r="N114" s="55"/>
      <c r="O114" s="55" t="s">
        <v>261</v>
      </c>
      <c r="P114" s="55"/>
      <c r="Q114" s="55"/>
      <c r="R114" s="55" t="s">
        <v>262</v>
      </c>
      <c r="S114" s="55"/>
      <c r="T114" s="55" t="s">
        <v>263</v>
      </c>
      <c r="U114" s="55"/>
      <c r="V114" s="55" t="s">
        <v>264</v>
      </c>
      <c r="W114" s="55"/>
      <c r="X114" s="57" t="s">
        <v>265</v>
      </c>
      <c r="Y114" s="57"/>
    </row>
    <row r="115" spans="1:25" ht="30" customHeight="1" x14ac:dyDescent="0.2">
      <c r="A115" s="42">
        <v>1</v>
      </c>
      <c r="B115" s="43" t="s">
        <v>297</v>
      </c>
      <c r="C115" s="58" t="s">
        <v>435</v>
      </c>
      <c r="D115" s="58"/>
      <c r="E115" s="58"/>
      <c r="F115" s="58"/>
      <c r="G115" s="58" t="s">
        <v>334</v>
      </c>
      <c r="H115" s="58"/>
      <c r="I115" s="58"/>
      <c r="J115" s="58"/>
      <c r="K115" s="58" t="s">
        <v>89</v>
      </c>
      <c r="L115" s="58"/>
      <c r="M115" s="58"/>
      <c r="N115" s="58"/>
      <c r="O115" s="59" t="s">
        <v>269</v>
      </c>
      <c r="P115" s="59"/>
      <c r="Q115" s="59"/>
      <c r="R115" s="59" t="s">
        <v>270</v>
      </c>
      <c r="S115" s="59"/>
      <c r="T115" s="59" t="s">
        <v>270</v>
      </c>
      <c r="U115" s="59"/>
      <c r="V115" s="59"/>
      <c r="W115" s="59"/>
      <c r="X115" s="58" t="s">
        <v>335</v>
      </c>
      <c r="Y115" s="58"/>
    </row>
    <row r="116" spans="1:25" ht="30" customHeight="1" x14ac:dyDescent="0.2">
      <c r="A116" s="42">
        <v>2</v>
      </c>
      <c r="B116" s="43" t="s">
        <v>420</v>
      </c>
      <c r="C116" s="58" t="s">
        <v>436</v>
      </c>
      <c r="D116" s="58"/>
      <c r="E116" s="58"/>
      <c r="F116" s="58"/>
      <c r="G116" s="58" t="s">
        <v>334</v>
      </c>
      <c r="H116" s="58"/>
      <c r="I116" s="58"/>
      <c r="J116" s="58"/>
      <c r="K116" s="58" t="s">
        <v>89</v>
      </c>
      <c r="L116" s="58"/>
      <c r="M116" s="58"/>
      <c r="N116" s="58"/>
      <c r="O116" s="59" t="s">
        <v>269</v>
      </c>
      <c r="P116" s="59"/>
      <c r="Q116" s="59"/>
      <c r="R116" s="59" t="s">
        <v>270</v>
      </c>
      <c r="S116" s="59"/>
      <c r="T116" s="59" t="s">
        <v>270</v>
      </c>
      <c r="U116" s="59"/>
      <c r="V116" s="59"/>
      <c r="W116" s="59"/>
      <c r="X116" s="58" t="s">
        <v>437</v>
      </c>
      <c r="Y116" s="58"/>
    </row>
    <row r="117" spans="1:25" ht="69" customHeight="1" x14ac:dyDescent="0.2">
      <c r="A117" s="42">
        <v>3</v>
      </c>
      <c r="B117" s="43" t="s">
        <v>438</v>
      </c>
      <c r="C117" s="58" t="s">
        <v>439</v>
      </c>
      <c r="D117" s="58"/>
      <c r="E117" s="58"/>
      <c r="F117" s="58"/>
      <c r="G117" s="58" t="s">
        <v>604</v>
      </c>
      <c r="H117" s="58"/>
      <c r="I117" s="58"/>
      <c r="J117" s="58"/>
      <c r="K117" s="58" t="s">
        <v>122</v>
      </c>
      <c r="L117" s="58"/>
      <c r="M117" s="58"/>
      <c r="N117" s="58"/>
      <c r="O117" s="59" t="s">
        <v>269</v>
      </c>
      <c r="P117" s="59"/>
      <c r="Q117" s="59"/>
      <c r="R117" s="59"/>
      <c r="S117" s="59"/>
      <c r="T117" s="59"/>
      <c r="U117" s="59"/>
      <c r="V117" s="59"/>
      <c r="W117" s="59"/>
      <c r="X117" s="58"/>
      <c r="Y117" s="58"/>
    </row>
    <row r="118" spans="1:25" ht="48" customHeight="1" x14ac:dyDescent="0.2">
      <c r="A118" s="42">
        <v>4</v>
      </c>
      <c r="B118" s="43" t="s">
        <v>442</v>
      </c>
      <c r="C118" s="58" t="s">
        <v>443</v>
      </c>
      <c r="D118" s="58"/>
      <c r="E118" s="58"/>
      <c r="F118" s="58"/>
      <c r="G118" s="58" t="s">
        <v>599</v>
      </c>
      <c r="H118" s="58"/>
      <c r="I118" s="58"/>
      <c r="J118" s="58"/>
      <c r="K118" s="58" t="s">
        <v>600</v>
      </c>
      <c r="L118" s="58"/>
      <c r="M118" s="58"/>
      <c r="N118" s="58"/>
      <c r="O118" s="59" t="s">
        <v>269</v>
      </c>
      <c r="P118" s="59"/>
      <c r="Q118" s="59"/>
      <c r="R118" s="59"/>
      <c r="S118" s="59"/>
      <c r="T118" s="59"/>
      <c r="U118" s="59"/>
      <c r="V118" s="59"/>
      <c r="W118" s="59"/>
      <c r="X118" s="58" t="s">
        <v>601</v>
      </c>
      <c r="Y118" s="58"/>
    </row>
    <row r="119" spans="1:25" ht="48" customHeight="1" x14ac:dyDescent="0.2">
      <c r="A119" s="42">
        <v>5</v>
      </c>
      <c r="B119" s="43" t="s">
        <v>284</v>
      </c>
      <c r="C119" s="58" t="s">
        <v>444</v>
      </c>
      <c r="D119" s="58"/>
      <c r="E119" s="58"/>
      <c r="F119" s="58"/>
      <c r="G119" s="58" t="s">
        <v>47</v>
      </c>
      <c r="H119" s="58"/>
      <c r="I119" s="58"/>
      <c r="J119" s="58"/>
      <c r="K119" s="58" t="s">
        <v>49</v>
      </c>
      <c r="L119" s="58"/>
      <c r="M119" s="58"/>
      <c r="N119" s="58"/>
      <c r="O119" s="59" t="s">
        <v>269</v>
      </c>
      <c r="P119" s="59"/>
      <c r="Q119" s="59"/>
      <c r="R119" s="59"/>
      <c r="S119" s="59"/>
      <c r="T119" s="59"/>
      <c r="U119" s="59"/>
      <c r="V119" s="59"/>
      <c r="W119" s="59"/>
      <c r="X119" s="58" t="s">
        <v>286</v>
      </c>
      <c r="Y119" s="58"/>
    </row>
    <row r="120" spans="1:25" ht="24" customHeight="1" x14ac:dyDescent="0.2"/>
    <row r="121" spans="1:25" ht="54" customHeight="1" x14ac:dyDescent="0.2">
      <c r="A121" s="37">
        <f>'Invetario de Tablas'!A17</f>
        <v>14</v>
      </c>
      <c r="B121" s="38" t="s">
        <v>177</v>
      </c>
      <c r="C121" s="52" t="str">
        <f>'Invetario de Tablas'!B17</f>
        <v>tipo_servicio</v>
      </c>
      <c r="D121" s="52"/>
      <c r="E121" s="52"/>
      <c r="F121" s="52"/>
      <c r="G121" s="53" t="s">
        <v>178</v>
      </c>
      <c r="H121" s="53"/>
      <c r="I121" s="53"/>
      <c r="J121" s="53"/>
      <c r="K121" s="54" t="str">
        <f>'Invetario de Tablas'!C17</f>
        <v>Catálogo de tipos de servicio (tutoría, cambalache, mantenimiento).</v>
      </c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39" t="s">
        <v>255</v>
      </c>
      <c r="Y121" s="32" t="s">
        <v>590</v>
      </c>
    </row>
    <row r="122" spans="1:25" ht="45" customHeight="1" x14ac:dyDescent="0.2">
      <c r="A122" s="40" t="s">
        <v>1</v>
      </c>
      <c r="B122" s="41" t="s">
        <v>257</v>
      </c>
      <c r="C122" s="55" t="s">
        <v>258</v>
      </c>
      <c r="D122" s="55"/>
      <c r="E122" s="55"/>
      <c r="F122" s="55"/>
      <c r="G122" s="56" t="s">
        <v>591</v>
      </c>
      <c r="H122" s="56"/>
      <c r="I122" s="56"/>
      <c r="J122" s="56"/>
      <c r="K122" s="55" t="s">
        <v>260</v>
      </c>
      <c r="L122" s="55"/>
      <c r="M122" s="55"/>
      <c r="N122" s="55"/>
      <c r="O122" s="55" t="s">
        <v>261</v>
      </c>
      <c r="P122" s="55"/>
      <c r="Q122" s="55"/>
      <c r="R122" s="55" t="s">
        <v>262</v>
      </c>
      <c r="S122" s="55"/>
      <c r="T122" s="55" t="s">
        <v>263</v>
      </c>
      <c r="U122" s="55"/>
      <c r="V122" s="55" t="s">
        <v>264</v>
      </c>
      <c r="W122" s="55"/>
      <c r="X122" s="57" t="s">
        <v>265</v>
      </c>
      <c r="Y122" s="57"/>
    </row>
    <row r="123" spans="1:25" ht="48" customHeight="1" x14ac:dyDescent="0.2">
      <c r="A123" s="42">
        <v>1</v>
      </c>
      <c r="B123" s="43" t="s">
        <v>445</v>
      </c>
      <c r="C123" s="58" t="s">
        <v>446</v>
      </c>
      <c r="D123" s="58"/>
      <c r="E123" s="58"/>
      <c r="F123" s="58"/>
      <c r="G123" s="58" t="s">
        <v>592</v>
      </c>
      <c r="H123" s="58"/>
      <c r="I123" s="58"/>
      <c r="J123" s="58"/>
      <c r="K123" s="58" t="s">
        <v>80</v>
      </c>
      <c r="L123" s="58"/>
      <c r="M123" s="58"/>
      <c r="N123" s="58"/>
      <c r="O123" s="59" t="s">
        <v>269</v>
      </c>
      <c r="P123" s="59"/>
      <c r="Q123" s="59"/>
      <c r="R123" s="59" t="s">
        <v>270</v>
      </c>
      <c r="S123" s="59"/>
      <c r="T123" s="59"/>
      <c r="U123" s="59"/>
      <c r="V123" s="59"/>
      <c r="W123" s="59"/>
      <c r="X123" s="58" t="s">
        <v>271</v>
      </c>
      <c r="Y123" s="58"/>
    </row>
    <row r="124" spans="1:25" ht="48" customHeight="1" x14ac:dyDescent="0.2">
      <c r="A124" s="42">
        <v>2</v>
      </c>
      <c r="B124" s="43" t="s">
        <v>447</v>
      </c>
      <c r="C124" s="58" t="s">
        <v>448</v>
      </c>
      <c r="D124" s="58"/>
      <c r="E124" s="58"/>
      <c r="F124" s="58"/>
      <c r="G124" s="58" t="s">
        <v>357</v>
      </c>
      <c r="H124" s="58"/>
      <c r="I124" s="58"/>
      <c r="J124" s="58"/>
      <c r="K124" s="58" t="s">
        <v>358</v>
      </c>
      <c r="L124" s="58"/>
      <c r="M124" s="58"/>
      <c r="N124" s="58"/>
      <c r="O124" s="59" t="s">
        <v>269</v>
      </c>
      <c r="P124" s="59"/>
      <c r="Q124" s="59"/>
      <c r="R124" s="59"/>
      <c r="S124" s="59"/>
      <c r="T124" s="59"/>
      <c r="U124" s="59"/>
      <c r="V124" s="59" t="s">
        <v>270</v>
      </c>
      <c r="W124" s="59"/>
      <c r="X124" s="58"/>
      <c r="Y124" s="58"/>
    </row>
    <row r="125" spans="1:25" ht="69" customHeight="1" x14ac:dyDescent="0.2">
      <c r="A125" s="42">
        <v>3</v>
      </c>
      <c r="B125" s="43" t="s">
        <v>449</v>
      </c>
      <c r="C125" s="58" t="s">
        <v>450</v>
      </c>
      <c r="D125" s="58"/>
      <c r="E125" s="58"/>
      <c r="F125" s="58"/>
      <c r="G125" s="58" t="s">
        <v>281</v>
      </c>
      <c r="H125" s="58"/>
      <c r="I125" s="58"/>
      <c r="J125" s="58"/>
      <c r="K125" s="58" t="s">
        <v>282</v>
      </c>
      <c r="L125" s="58"/>
      <c r="M125" s="58"/>
      <c r="N125" s="58"/>
      <c r="O125" s="59" t="s">
        <v>283</v>
      </c>
      <c r="P125" s="59"/>
      <c r="Q125" s="59"/>
      <c r="R125" s="59"/>
      <c r="S125" s="59"/>
      <c r="T125" s="59"/>
      <c r="U125" s="59"/>
      <c r="V125" s="59"/>
      <c r="W125" s="59"/>
      <c r="X125" s="58"/>
      <c r="Y125" s="58"/>
    </row>
    <row r="126" spans="1:25" ht="48" customHeight="1" x14ac:dyDescent="0.2">
      <c r="A126" s="42">
        <v>4</v>
      </c>
      <c r="B126" s="43" t="s">
        <v>284</v>
      </c>
      <c r="C126" s="58" t="s">
        <v>361</v>
      </c>
      <c r="D126" s="58"/>
      <c r="E126" s="58"/>
      <c r="F126" s="58"/>
      <c r="G126" s="58" t="s">
        <v>47</v>
      </c>
      <c r="H126" s="58"/>
      <c r="I126" s="58"/>
      <c r="J126" s="58"/>
      <c r="K126" s="58" t="s">
        <v>49</v>
      </c>
      <c r="L126" s="58"/>
      <c r="M126" s="58"/>
      <c r="N126" s="58"/>
      <c r="O126" s="59" t="s">
        <v>269</v>
      </c>
      <c r="P126" s="59"/>
      <c r="Q126" s="59"/>
      <c r="R126" s="59"/>
      <c r="S126" s="59"/>
      <c r="T126" s="59"/>
      <c r="U126" s="59"/>
      <c r="V126" s="59"/>
      <c r="W126" s="59"/>
      <c r="X126" s="58" t="s">
        <v>286</v>
      </c>
      <c r="Y126" s="58"/>
    </row>
    <row r="127" spans="1:25" ht="24" customHeight="1" x14ac:dyDescent="0.2"/>
    <row r="128" spans="1:25" ht="54" customHeight="1" x14ac:dyDescent="0.2">
      <c r="A128" s="37">
        <f>'Invetario de Tablas'!A18</f>
        <v>15</v>
      </c>
      <c r="B128" s="38" t="s">
        <v>177</v>
      </c>
      <c r="C128" s="52" t="str">
        <f>'Invetario de Tablas'!B18</f>
        <v>servicio</v>
      </c>
      <c r="D128" s="52"/>
      <c r="E128" s="52"/>
      <c r="F128" s="52"/>
      <c r="G128" s="53" t="s">
        <v>178</v>
      </c>
      <c r="H128" s="53"/>
      <c r="I128" s="53"/>
      <c r="J128" s="53"/>
      <c r="K128" s="54" t="str">
        <f>'Invetario de Tablas'!C18</f>
        <v>Oferta de servicios universitarios por parte de un usuario.</v>
      </c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39" t="s">
        <v>255</v>
      </c>
      <c r="Y128" s="32" t="s">
        <v>590</v>
      </c>
    </row>
    <row r="129" spans="1:25" ht="45" customHeight="1" x14ac:dyDescent="0.2">
      <c r="A129" s="40" t="s">
        <v>1</v>
      </c>
      <c r="B129" s="41" t="s">
        <v>257</v>
      </c>
      <c r="C129" s="55" t="s">
        <v>258</v>
      </c>
      <c r="D129" s="55"/>
      <c r="E129" s="55"/>
      <c r="F129" s="55"/>
      <c r="G129" s="56" t="s">
        <v>591</v>
      </c>
      <c r="H129" s="56"/>
      <c r="I129" s="56"/>
      <c r="J129" s="56"/>
      <c r="K129" s="55" t="s">
        <v>260</v>
      </c>
      <c r="L129" s="55"/>
      <c r="M129" s="55"/>
      <c r="N129" s="55"/>
      <c r="O129" s="55" t="s">
        <v>261</v>
      </c>
      <c r="P129" s="55"/>
      <c r="Q129" s="55"/>
      <c r="R129" s="55" t="s">
        <v>262</v>
      </c>
      <c r="S129" s="55"/>
      <c r="T129" s="55" t="s">
        <v>263</v>
      </c>
      <c r="U129" s="55"/>
      <c r="V129" s="55" t="s">
        <v>264</v>
      </c>
      <c r="W129" s="55"/>
      <c r="X129" s="57" t="s">
        <v>265</v>
      </c>
      <c r="Y129" s="57"/>
    </row>
    <row r="130" spans="1:25" ht="48" customHeight="1" x14ac:dyDescent="0.2">
      <c r="A130" s="42">
        <v>1</v>
      </c>
      <c r="B130" s="43" t="s">
        <v>451</v>
      </c>
      <c r="C130" s="58" t="s">
        <v>452</v>
      </c>
      <c r="D130" s="58"/>
      <c r="E130" s="58"/>
      <c r="F130" s="58"/>
      <c r="G130" s="58" t="s">
        <v>594</v>
      </c>
      <c r="H130" s="58"/>
      <c r="I130" s="58"/>
      <c r="J130" s="58"/>
      <c r="K130" s="58" t="s">
        <v>89</v>
      </c>
      <c r="L130" s="58"/>
      <c r="M130" s="58"/>
      <c r="N130" s="58"/>
      <c r="O130" s="59" t="s">
        <v>269</v>
      </c>
      <c r="P130" s="59"/>
      <c r="Q130" s="59"/>
      <c r="R130" s="59" t="s">
        <v>270</v>
      </c>
      <c r="S130" s="59"/>
      <c r="T130" s="59"/>
      <c r="U130" s="59"/>
      <c r="V130" s="59"/>
      <c r="W130" s="59"/>
      <c r="X130" s="49" t="s">
        <v>637</v>
      </c>
      <c r="Y130" s="49"/>
    </row>
    <row r="131" spans="1:25" ht="48" customHeight="1" x14ac:dyDescent="0.2">
      <c r="A131" s="42">
        <v>2</v>
      </c>
      <c r="B131" s="43" t="s">
        <v>297</v>
      </c>
      <c r="C131" s="58" t="s">
        <v>453</v>
      </c>
      <c r="D131" s="58"/>
      <c r="E131" s="58"/>
      <c r="F131" s="58"/>
      <c r="G131" s="58" t="s">
        <v>334</v>
      </c>
      <c r="H131" s="58"/>
      <c r="I131" s="58"/>
      <c r="J131" s="58"/>
      <c r="K131" s="58" t="s">
        <v>89</v>
      </c>
      <c r="L131" s="58"/>
      <c r="M131" s="58"/>
      <c r="N131" s="58"/>
      <c r="O131" s="59" t="s">
        <v>269</v>
      </c>
      <c r="P131" s="59"/>
      <c r="Q131" s="59"/>
      <c r="R131" s="59"/>
      <c r="S131" s="59"/>
      <c r="T131" s="59" t="s">
        <v>270</v>
      </c>
      <c r="U131" s="59"/>
      <c r="V131" s="59"/>
      <c r="W131" s="59"/>
      <c r="X131" s="58" t="s">
        <v>335</v>
      </c>
      <c r="Y131" s="58"/>
    </row>
    <row r="132" spans="1:25" ht="48" customHeight="1" x14ac:dyDescent="0.2">
      <c r="A132" s="42">
        <v>3</v>
      </c>
      <c r="B132" s="43" t="s">
        <v>445</v>
      </c>
      <c r="C132" s="58" t="s">
        <v>454</v>
      </c>
      <c r="D132" s="58"/>
      <c r="E132" s="58"/>
      <c r="F132" s="58"/>
      <c r="G132" s="58" t="s">
        <v>598</v>
      </c>
      <c r="H132" s="58"/>
      <c r="I132" s="58"/>
      <c r="J132" s="58"/>
      <c r="K132" s="58" t="s">
        <v>80</v>
      </c>
      <c r="L132" s="58"/>
      <c r="M132" s="58"/>
      <c r="N132" s="58"/>
      <c r="O132" s="59" t="s">
        <v>269</v>
      </c>
      <c r="P132" s="59"/>
      <c r="Q132" s="59"/>
      <c r="R132" s="59"/>
      <c r="S132" s="59"/>
      <c r="T132" s="59" t="s">
        <v>270</v>
      </c>
      <c r="U132" s="59"/>
      <c r="V132" s="59"/>
      <c r="W132" s="59"/>
      <c r="X132" s="58" t="s">
        <v>455</v>
      </c>
      <c r="Y132" s="58"/>
    </row>
    <row r="133" spans="1:25" ht="30" customHeight="1" x14ac:dyDescent="0.2">
      <c r="A133" s="42">
        <v>4</v>
      </c>
      <c r="B133" s="43" t="s">
        <v>456</v>
      </c>
      <c r="C133" s="58" t="s">
        <v>457</v>
      </c>
      <c r="D133" s="58"/>
      <c r="E133" s="58"/>
      <c r="F133" s="58"/>
      <c r="G133" s="58" t="s">
        <v>344</v>
      </c>
      <c r="H133" s="58"/>
      <c r="I133" s="58"/>
      <c r="J133" s="58"/>
      <c r="K133" s="58" t="s">
        <v>345</v>
      </c>
      <c r="L133" s="58"/>
      <c r="M133" s="58"/>
      <c r="N133" s="58"/>
      <c r="O133" s="59" t="s">
        <v>269</v>
      </c>
      <c r="P133" s="59"/>
      <c r="Q133" s="59"/>
      <c r="R133" s="59"/>
      <c r="S133" s="59"/>
      <c r="T133" s="59"/>
      <c r="U133" s="59"/>
      <c r="V133" s="59"/>
      <c r="W133" s="59"/>
      <c r="X133" s="58"/>
      <c r="Y133" s="58"/>
    </row>
    <row r="134" spans="1:25" ht="69" customHeight="1" x14ac:dyDescent="0.2">
      <c r="A134" s="42">
        <v>5</v>
      </c>
      <c r="B134" s="43" t="s">
        <v>458</v>
      </c>
      <c r="C134" s="58" t="s">
        <v>459</v>
      </c>
      <c r="D134" s="58"/>
      <c r="E134" s="58"/>
      <c r="F134" s="58"/>
      <c r="G134" s="58" t="s">
        <v>57</v>
      </c>
      <c r="H134" s="58"/>
      <c r="I134" s="58"/>
      <c r="J134" s="58"/>
      <c r="K134" s="58" t="s">
        <v>602</v>
      </c>
      <c r="L134" s="58"/>
      <c r="M134" s="58"/>
      <c r="N134" s="58"/>
      <c r="O134" s="59" t="s">
        <v>283</v>
      </c>
      <c r="P134" s="59"/>
      <c r="Q134" s="59"/>
      <c r="R134" s="59"/>
      <c r="S134" s="59"/>
      <c r="T134" s="59"/>
      <c r="U134" s="59"/>
      <c r="V134" s="59"/>
      <c r="W134" s="59"/>
      <c r="X134" s="58"/>
      <c r="Y134" s="58"/>
    </row>
    <row r="135" spans="1:25" ht="30" customHeight="1" x14ac:dyDescent="0.2">
      <c r="A135" s="42">
        <v>6</v>
      </c>
      <c r="B135" s="43" t="s">
        <v>460</v>
      </c>
      <c r="C135" s="58" t="s">
        <v>461</v>
      </c>
      <c r="D135" s="58"/>
      <c r="E135" s="58"/>
      <c r="F135" s="58"/>
      <c r="G135" s="58" t="s">
        <v>605</v>
      </c>
      <c r="H135" s="58"/>
      <c r="I135" s="58"/>
      <c r="J135" s="58"/>
      <c r="K135" s="58" t="s">
        <v>606</v>
      </c>
      <c r="L135" s="58"/>
      <c r="M135" s="58"/>
      <c r="N135" s="58"/>
      <c r="O135" s="59" t="s">
        <v>269</v>
      </c>
      <c r="P135" s="59"/>
      <c r="Q135" s="59"/>
      <c r="R135" s="59"/>
      <c r="S135" s="59"/>
      <c r="T135" s="59"/>
      <c r="U135" s="59"/>
      <c r="V135" s="59"/>
      <c r="W135" s="59"/>
      <c r="X135" s="58" t="s">
        <v>463</v>
      </c>
      <c r="Y135" s="58"/>
    </row>
    <row r="136" spans="1:25" ht="48" customHeight="1" x14ac:dyDescent="0.2">
      <c r="A136" s="42">
        <v>7</v>
      </c>
      <c r="B136" s="43" t="s">
        <v>464</v>
      </c>
      <c r="C136" s="58" t="s">
        <v>465</v>
      </c>
      <c r="D136" s="58"/>
      <c r="E136" s="58"/>
      <c r="F136" s="58"/>
      <c r="G136" s="58" t="s">
        <v>47</v>
      </c>
      <c r="H136" s="58"/>
      <c r="I136" s="58"/>
      <c r="J136" s="58"/>
      <c r="K136" s="58" t="s">
        <v>49</v>
      </c>
      <c r="L136" s="58"/>
      <c r="M136" s="58"/>
      <c r="N136" s="58"/>
      <c r="O136" s="59" t="s">
        <v>269</v>
      </c>
      <c r="P136" s="59"/>
      <c r="Q136" s="59"/>
      <c r="R136" s="59"/>
      <c r="S136" s="59"/>
      <c r="T136" s="59"/>
      <c r="U136" s="59"/>
      <c r="V136" s="59"/>
      <c r="W136" s="59"/>
      <c r="X136" s="58" t="s">
        <v>286</v>
      </c>
      <c r="Y136" s="58"/>
    </row>
    <row r="137" spans="1:25" ht="48" customHeight="1" x14ac:dyDescent="0.2">
      <c r="A137" s="42">
        <v>8</v>
      </c>
      <c r="B137" s="43" t="s">
        <v>373</v>
      </c>
      <c r="C137" s="58" t="s">
        <v>374</v>
      </c>
      <c r="D137" s="58"/>
      <c r="E137" s="58"/>
      <c r="F137" s="58"/>
      <c r="G137" s="58" t="s">
        <v>599</v>
      </c>
      <c r="H137" s="58"/>
      <c r="I137" s="58"/>
      <c r="J137" s="58"/>
      <c r="K137" s="58" t="s">
        <v>600</v>
      </c>
      <c r="L137" s="58"/>
      <c r="M137" s="58"/>
      <c r="N137" s="58"/>
      <c r="O137" s="59" t="s">
        <v>269</v>
      </c>
      <c r="P137" s="59"/>
      <c r="Q137" s="59"/>
      <c r="R137" s="59"/>
      <c r="S137" s="59"/>
      <c r="T137" s="59"/>
      <c r="U137" s="59"/>
      <c r="V137" s="59"/>
      <c r="W137" s="59"/>
      <c r="X137" s="58" t="s">
        <v>601</v>
      </c>
      <c r="Y137" s="58"/>
    </row>
    <row r="138" spans="1:25" ht="24" customHeight="1" x14ac:dyDescent="0.2"/>
    <row r="139" spans="1:25" ht="54" customHeight="1" x14ac:dyDescent="0.2">
      <c r="A139" s="37">
        <f>'Invetario de Tablas'!A19</f>
        <v>16</v>
      </c>
      <c r="B139" s="38" t="s">
        <v>177</v>
      </c>
      <c r="C139" s="52" t="str">
        <f>'Invetario de Tablas'!B19</f>
        <v>tipo_producto</v>
      </c>
      <c r="D139" s="52"/>
      <c r="E139" s="52"/>
      <c r="F139" s="52"/>
      <c r="G139" s="53" t="s">
        <v>178</v>
      </c>
      <c r="H139" s="53"/>
      <c r="I139" s="53"/>
      <c r="J139" s="53"/>
      <c r="K139" s="54" t="str">
        <f>'Invetario de Tablas'!C19</f>
        <v>Catálogo de tipos de producto (papelería, libros, ropa, tecnología).</v>
      </c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39" t="s">
        <v>255</v>
      </c>
      <c r="Y139" s="32" t="s">
        <v>590</v>
      </c>
    </row>
    <row r="140" spans="1:25" ht="45" customHeight="1" x14ac:dyDescent="0.2">
      <c r="A140" s="40" t="s">
        <v>1</v>
      </c>
      <c r="B140" s="41" t="s">
        <v>257</v>
      </c>
      <c r="C140" s="55" t="s">
        <v>258</v>
      </c>
      <c r="D140" s="55"/>
      <c r="E140" s="55"/>
      <c r="F140" s="55"/>
      <c r="G140" s="56" t="s">
        <v>591</v>
      </c>
      <c r="H140" s="56"/>
      <c r="I140" s="56"/>
      <c r="J140" s="56"/>
      <c r="K140" s="55" t="s">
        <v>260</v>
      </c>
      <c r="L140" s="55"/>
      <c r="M140" s="55"/>
      <c r="N140" s="55"/>
      <c r="O140" s="55" t="s">
        <v>261</v>
      </c>
      <c r="P140" s="55"/>
      <c r="Q140" s="55"/>
      <c r="R140" s="55" t="s">
        <v>262</v>
      </c>
      <c r="S140" s="55"/>
      <c r="T140" s="55" t="s">
        <v>263</v>
      </c>
      <c r="U140" s="55"/>
      <c r="V140" s="55" t="s">
        <v>264</v>
      </c>
      <c r="W140" s="55"/>
      <c r="X140" s="57" t="s">
        <v>265</v>
      </c>
      <c r="Y140" s="57"/>
    </row>
    <row r="141" spans="1:25" ht="48" customHeight="1" x14ac:dyDescent="0.2">
      <c r="A141" s="42">
        <v>1</v>
      </c>
      <c r="B141" s="43" t="s">
        <v>466</v>
      </c>
      <c r="C141" s="58" t="s">
        <v>467</v>
      </c>
      <c r="D141" s="58"/>
      <c r="E141" s="58"/>
      <c r="F141" s="58"/>
      <c r="G141" s="58" t="s">
        <v>592</v>
      </c>
      <c r="H141" s="58"/>
      <c r="I141" s="58"/>
      <c r="J141" s="58"/>
      <c r="K141" s="58" t="s">
        <v>80</v>
      </c>
      <c r="L141" s="58"/>
      <c r="M141" s="58"/>
      <c r="N141" s="58"/>
      <c r="O141" s="59" t="s">
        <v>269</v>
      </c>
      <c r="P141" s="59"/>
      <c r="Q141" s="59"/>
      <c r="R141" s="59" t="s">
        <v>270</v>
      </c>
      <c r="S141" s="59"/>
      <c r="T141" s="59"/>
      <c r="U141" s="59"/>
      <c r="V141" s="59"/>
      <c r="W141" s="59"/>
      <c r="X141" s="58" t="s">
        <v>271</v>
      </c>
      <c r="Y141" s="58"/>
    </row>
    <row r="142" spans="1:25" ht="48" customHeight="1" x14ac:dyDescent="0.2">
      <c r="A142" s="42">
        <v>2</v>
      </c>
      <c r="B142" s="43" t="s">
        <v>468</v>
      </c>
      <c r="C142" s="58" t="s">
        <v>469</v>
      </c>
      <c r="D142" s="58"/>
      <c r="E142" s="58"/>
      <c r="F142" s="58"/>
      <c r="G142" s="58" t="s">
        <v>357</v>
      </c>
      <c r="H142" s="58"/>
      <c r="I142" s="58"/>
      <c r="J142" s="58"/>
      <c r="K142" s="58" t="s">
        <v>358</v>
      </c>
      <c r="L142" s="58"/>
      <c r="M142" s="58"/>
      <c r="N142" s="58"/>
      <c r="O142" s="59" t="s">
        <v>269</v>
      </c>
      <c r="P142" s="59"/>
      <c r="Q142" s="59"/>
      <c r="R142" s="59"/>
      <c r="S142" s="59"/>
      <c r="T142" s="59"/>
      <c r="U142" s="59"/>
      <c r="V142" s="59" t="s">
        <v>270</v>
      </c>
      <c r="W142" s="59"/>
      <c r="X142" s="58"/>
      <c r="Y142" s="58"/>
    </row>
    <row r="143" spans="1:25" ht="48" customHeight="1" x14ac:dyDescent="0.2">
      <c r="A143" s="42">
        <v>3</v>
      </c>
      <c r="B143" s="43" t="s">
        <v>470</v>
      </c>
      <c r="C143" s="58" t="s">
        <v>471</v>
      </c>
      <c r="D143" s="58"/>
      <c r="E143" s="58"/>
      <c r="F143" s="58"/>
      <c r="G143" s="58" t="s">
        <v>281</v>
      </c>
      <c r="H143" s="58"/>
      <c r="I143" s="58"/>
      <c r="J143" s="58"/>
      <c r="K143" s="58" t="s">
        <v>282</v>
      </c>
      <c r="L143" s="58"/>
      <c r="M143" s="58"/>
      <c r="N143" s="58"/>
      <c r="O143" s="59" t="s">
        <v>283</v>
      </c>
      <c r="P143" s="59"/>
      <c r="Q143" s="59"/>
      <c r="R143" s="59"/>
      <c r="S143" s="59"/>
      <c r="T143" s="59"/>
      <c r="U143" s="59"/>
      <c r="V143" s="59"/>
      <c r="W143" s="59"/>
      <c r="X143" s="58"/>
      <c r="Y143" s="58"/>
    </row>
    <row r="144" spans="1:25" ht="48" customHeight="1" x14ac:dyDescent="0.2">
      <c r="A144" s="42">
        <v>4</v>
      </c>
      <c r="B144" s="43" t="s">
        <v>284</v>
      </c>
      <c r="C144" s="58" t="s">
        <v>361</v>
      </c>
      <c r="D144" s="58"/>
      <c r="E144" s="58"/>
      <c r="F144" s="58"/>
      <c r="G144" s="58" t="s">
        <v>47</v>
      </c>
      <c r="H144" s="58"/>
      <c r="I144" s="58"/>
      <c r="J144" s="58"/>
      <c r="K144" s="58" t="s">
        <v>49</v>
      </c>
      <c r="L144" s="58"/>
      <c r="M144" s="58"/>
      <c r="N144" s="58"/>
      <c r="O144" s="59" t="s">
        <v>269</v>
      </c>
      <c r="P144" s="59"/>
      <c r="Q144" s="59"/>
      <c r="R144" s="59"/>
      <c r="S144" s="59"/>
      <c r="T144" s="59"/>
      <c r="U144" s="59"/>
      <c r="V144" s="59"/>
      <c r="W144" s="59"/>
      <c r="X144" s="58" t="s">
        <v>286</v>
      </c>
      <c r="Y144" s="58"/>
    </row>
    <row r="145" spans="1:25" ht="24" customHeight="1" x14ac:dyDescent="0.2"/>
    <row r="146" spans="1:25" ht="54" customHeight="1" x14ac:dyDescent="0.2">
      <c r="A146" s="37">
        <f>'Invetario de Tablas'!A20</f>
        <v>17</v>
      </c>
      <c r="B146" s="38" t="s">
        <v>177</v>
      </c>
      <c r="C146" s="52" t="str">
        <f>'Invetario de Tablas'!B20</f>
        <v>producto</v>
      </c>
      <c r="D146" s="52"/>
      <c r="E146" s="52"/>
      <c r="F146" s="52"/>
      <c r="G146" s="53" t="s">
        <v>178</v>
      </c>
      <c r="H146" s="53"/>
      <c r="I146" s="53"/>
      <c r="J146" s="53"/>
      <c r="K146" s="54" t="str">
        <f>'Invetario de Tablas'!C20</f>
        <v>Productos o artículos publicados para la venta en el marketplace.</v>
      </c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39" t="s">
        <v>255</v>
      </c>
      <c r="Y146" s="32" t="s">
        <v>590</v>
      </c>
    </row>
    <row r="147" spans="1:25" ht="45" customHeight="1" x14ac:dyDescent="0.2">
      <c r="A147" s="40" t="s">
        <v>1</v>
      </c>
      <c r="B147" s="41" t="s">
        <v>257</v>
      </c>
      <c r="C147" s="55" t="s">
        <v>258</v>
      </c>
      <c r="D147" s="55"/>
      <c r="E147" s="55"/>
      <c r="F147" s="55"/>
      <c r="G147" s="56" t="s">
        <v>591</v>
      </c>
      <c r="H147" s="56"/>
      <c r="I147" s="56"/>
      <c r="J147" s="56"/>
      <c r="K147" s="55" t="s">
        <v>260</v>
      </c>
      <c r="L147" s="55"/>
      <c r="M147" s="55"/>
      <c r="N147" s="55"/>
      <c r="O147" s="55" t="s">
        <v>261</v>
      </c>
      <c r="P147" s="55"/>
      <c r="Q147" s="55"/>
      <c r="R147" s="55" t="s">
        <v>262</v>
      </c>
      <c r="S147" s="55"/>
      <c r="T147" s="55" t="s">
        <v>263</v>
      </c>
      <c r="U147" s="55"/>
      <c r="V147" s="55" t="s">
        <v>264</v>
      </c>
      <c r="W147" s="55"/>
      <c r="X147" s="57" t="s">
        <v>265</v>
      </c>
      <c r="Y147" s="57"/>
    </row>
    <row r="148" spans="1:25" ht="48" customHeight="1" x14ac:dyDescent="0.2">
      <c r="A148" s="42">
        <v>1</v>
      </c>
      <c r="B148" s="43" t="s">
        <v>472</v>
      </c>
      <c r="C148" s="58" t="s">
        <v>473</v>
      </c>
      <c r="D148" s="58"/>
      <c r="E148" s="58"/>
      <c r="F148" s="58"/>
      <c r="G148" s="58" t="s">
        <v>594</v>
      </c>
      <c r="H148" s="58"/>
      <c r="I148" s="58"/>
      <c r="J148" s="58"/>
      <c r="K148" s="58" t="s">
        <v>89</v>
      </c>
      <c r="L148" s="58"/>
      <c r="M148" s="58"/>
      <c r="N148" s="58"/>
      <c r="O148" s="59" t="s">
        <v>269</v>
      </c>
      <c r="P148" s="59"/>
      <c r="Q148" s="59"/>
      <c r="R148" s="59" t="s">
        <v>270</v>
      </c>
      <c r="S148" s="59"/>
      <c r="T148" s="59"/>
      <c r="U148" s="59"/>
      <c r="V148" s="59"/>
      <c r="W148" s="59"/>
      <c r="X148" s="49" t="s">
        <v>637</v>
      </c>
      <c r="Y148" s="49"/>
    </row>
    <row r="149" spans="1:25" ht="48" customHeight="1" x14ac:dyDescent="0.2">
      <c r="A149" s="42">
        <v>2</v>
      </c>
      <c r="B149" s="43" t="s">
        <v>297</v>
      </c>
      <c r="C149" s="58" t="s">
        <v>474</v>
      </c>
      <c r="D149" s="58"/>
      <c r="E149" s="58"/>
      <c r="F149" s="58"/>
      <c r="G149" s="58" t="s">
        <v>334</v>
      </c>
      <c r="H149" s="58"/>
      <c r="I149" s="58"/>
      <c r="J149" s="58"/>
      <c r="K149" s="58" t="s">
        <v>89</v>
      </c>
      <c r="L149" s="58"/>
      <c r="M149" s="58"/>
      <c r="N149" s="58"/>
      <c r="O149" s="59" t="s">
        <v>269</v>
      </c>
      <c r="P149" s="59"/>
      <c r="Q149" s="59"/>
      <c r="R149" s="59"/>
      <c r="S149" s="59"/>
      <c r="T149" s="59" t="s">
        <v>270</v>
      </c>
      <c r="U149" s="59"/>
      <c r="V149" s="59"/>
      <c r="W149" s="59"/>
      <c r="X149" s="58" t="s">
        <v>335</v>
      </c>
      <c r="Y149" s="58"/>
    </row>
    <row r="150" spans="1:25" ht="61.5" customHeight="1" x14ac:dyDescent="0.2">
      <c r="A150" s="42">
        <v>3</v>
      </c>
      <c r="B150" s="43" t="s">
        <v>466</v>
      </c>
      <c r="C150" s="58" t="s">
        <v>475</v>
      </c>
      <c r="D150" s="58"/>
      <c r="E150" s="58"/>
      <c r="F150" s="58"/>
      <c r="G150" s="58" t="s">
        <v>598</v>
      </c>
      <c r="H150" s="58"/>
      <c r="I150" s="58"/>
      <c r="J150" s="58"/>
      <c r="K150" s="58" t="s">
        <v>80</v>
      </c>
      <c r="L150" s="58"/>
      <c r="M150" s="58"/>
      <c r="N150" s="58"/>
      <c r="O150" s="59" t="s">
        <v>269</v>
      </c>
      <c r="P150" s="59"/>
      <c r="Q150" s="59"/>
      <c r="R150" s="59"/>
      <c r="S150" s="59"/>
      <c r="T150" s="59" t="s">
        <v>270</v>
      </c>
      <c r="U150" s="59"/>
      <c r="V150" s="59"/>
      <c r="W150" s="59"/>
      <c r="X150" s="58" t="s">
        <v>476</v>
      </c>
      <c r="Y150" s="58"/>
    </row>
    <row r="151" spans="1:25" ht="30" customHeight="1" x14ac:dyDescent="0.2">
      <c r="A151" s="42">
        <v>4</v>
      </c>
      <c r="B151" s="43" t="s">
        <v>477</v>
      </c>
      <c r="C151" s="58" t="s">
        <v>478</v>
      </c>
      <c r="D151" s="58"/>
      <c r="E151" s="58"/>
      <c r="F151" s="58"/>
      <c r="G151" s="58" t="s">
        <v>344</v>
      </c>
      <c r="H151" s="58"/>
      <c r="I151" s="58"/>
      <c r="J151" s="58"/>
      <c r="K151" s="58" t="s">
        <v>345</v>
      </c>
      <c r="L151" s="58"/>
      <c r="M151" s="58"/>
      <c r="N151" s="58"/>
      <c r="O151" s="59" t="s">
        <v>269</v>
      </c>
      <c r="P151" s="59"/>
      <c r="Q151" s="59"/>
      <c r="R151" s="59"/>
      <c r="S151" s="59"/>
      <c r="T151" s="59"/>
      <c r="U151" s="59"/>
      <c r="V151" s="59"/>
      <c r="W151" s="59"/>
      <c r="X151" s="58"/>
      <c r="Y151" s="58"/>
    </row>
    <row r="152" spans="1:25" ht="69" customHeight="1" x14ac:dyDescent="0.2">
      <c r="A152" s="42">
        <v>5</v>
      </c>
      <c r="B152" s="43" t="s">
        <v>479</v>
      </c>
      <c r="C152" s="58" t="s">
        <v>480</v>
      </c>
      <c r="D152" s="58"/>
      <c r="E152" s="58"/>
      <c r="F152" s="58"/>
      <c r="G152" s="58" t="s">
        <v>57</v>
      </c>
      <c r="H152" s="58"/>
      <c r="I152" s="58"/>
      <c r="J152" s="58"/>
      <c r="K152" s="58" t="s">
        <v>602</v>
      </c>
      <c r="L152" s="58"/>
      <c r="M152" s="58"/>
      <c r="N152" s="58"/>
      <c r="O152" s="59" t="s">
        <v>283</v>
      </c>
      <c r="P152" s="59"/>
      <c r="Q152" s="59"/>
      <c r="R152" s="59"/>
      <c r="S152" s="59"/>
      <c r="T152" s="59"/>
      <c r="U152" s="59"/>
      <c r="V152" s="59"/>
      <c r="W152" s="59"/>
      <c r="X152" s="58"/>
      <c r="Y152" s="58"/>
    </row>
    <row r="153" spans="1:25" ht="30" customHeight="1" x14ac:dyDescent="0.2">
      <c r="A153" s="42">
        <v>6</v>
      </c>
      <c r="B153" s="43" t="s">
        <v>481</v>
      </c>
      <c r="C153" s="58" t="s">
        <v>482</v>
      </c>
      <c r="D153" s="58"/>
      <c r="E153" s="58"/>
      <c r="F153" s="58"/>
      <c r="G153" s="58" t="s">
        <v>605</v>
      </c>
      <c r="H153" s="58"/>
      <c r="I153" s="58"/>
      <c r="J153" s="58"/>
      <c r="K153" s="58" t="s">
        <v>606</v>
      </c>
      <c r="L153" s="58"/>
      <c r="M153" s="58"/>
      <c r="N153" s="58"/>
      <c r="O153" s="59" t="s">
        <v>269</v>
      </c>
      <c r="P153" s="59"/>
      <c r="Q153" s="59"/>
      <c r="R153" s="59"/>
      <c r="S153" s="59"/>
      <c r="T153" s="59"/>
      <c r="U153" s="59"/>
      <c r="V153" s="59"/>
      <c r="W153" s="59"/>
      <c r="X153" s="58" t="s">
        <v>463</v>
      </c>
      <c r="Y153" s="58"/>
    </row>
    <row r="154" spans="1:25" ht="30" customHeight="1" x14ac:dyDescent="0.2">
      <c r="A154" s="42">
        <v>7</v>
      </c>
      <c r="B154" s="43" t="s">
        <v>483</v>
      </c>
      <c r="C154" s="58" t="s">
        <v>484</v>
      </c>
      <c r="D154" s="58"/>
      <c r="E154" s="58"/>
      <c r="F154" s="58"/>
      <c r="G154" s="58" t="s">
        <v>598</v>
      </c>
      <c r="H154" s="58"/>
      <c r="I154" s="58"/>
      <c r="J154" s="58"/>
      <c r="K154" s="58" t="s">
        <v>80</v>
      </c>
      <c r="L154" s="58"/>
      <c r="M154" s="58"/>
      <c r="N154" s="58"/>
      <c r="O154" s="59" t="s">
        <v>269</v>
      </c>
      <c r="P154" s="59"/>
      <c r="Q154" s="59"/>
      <c r="R154" s="59"/>
      <c r="S154" s="59"/>
      <c r="T154" s="59"/>
      <c r="U154" s="59"/>
      <c r="V154" s="59"/>
      <c r="W154" s="59"/>
      <c r="X154" s="58" t="s">
        <v>463</v>
      </c>
      <c r="Y154" s="58"/>
    </row>
    <row r="155" spans="1:25" ht="48" customHeight="1" x14ac:dyDescent="0.2">
      <c r="A155" s="42">
        <v>8</v>
      </c>
      <c r="B155" s="43" t="s">
        <v>485</v>
      </c>
      <c r="C155" s="58" t="s">
        <v>486</v>
      </c>
      <c r="D155" s="58"/>
      <c r="E155" s="58"/>
      <c r="F155" s="58"/>
      <c r="G155" s="58" t="s">
        <v>324</v>
      </c>
      <c r="H155" s="58"/>
      <c r="I155" s="58"/>
      <c r="J155" s="58"/>
      <c r="K155" s="58" t="s">
        <v>325</v>
      </c>
      <c r="L155" s="58"/>
      <c r="M155" s="58"/>
      <c r="N155" s="58"/>
      <c r="O155" s="59" t="s">
        <v>283</v>
      </c>
      <c r="P155" s="59"/>
      <c r="Q155" s="59"/>
      <c r="R155" s="59"/>
      <c r="S155" s="59"/>
      <c r="T155" s="59"/>
      <c r="U155" s="59"/>
      <c r="V155" s="59"/>
      <c r="W155" s="59"/>
      <c r="X155" s="58"/>
      <c r="Y155" s="58"/>
    </row>
    <row r="156" spans="1:25" ht="30" customHeight="1" x14ac:dyDescent="0.2">
      <c r="A156" s="42">
        <v>9</v>
      </c>
      <c r="B156" s="43" t="s">
        <v>464</v>
      </c>
      <c r="C156" s="58" t="s">
        <v>487</v>
      </c>
      <c r="D156" s="58"/>
      <c r="E156" s="58"/>
      <c r="F156" s="58"/>
      <c r="G156" s="58" t="s">
        <v>47</v>
      </c>
      <c r="H156" s="58"/>
      <c r="I156" s="58"/>
      <c r="J156" s="58"/>
      <c r="K156" s="58" t="s">
        <v>49</v>
      </c>
      <c r="L156" s="58"/>
      <c r="M156" s="58"/>
      <c r="N156" s="58"/>
      <c r="O156" s="59" t="s">
        <v>269</v>
      </c>
      <c r="P156" s="59"/>
      <c r="Q156" s="59"/>
      <c r="R156" s="59"/>
      <c r="S156" s="59"/>
      <c r="T156" s="59"/>
      <c r="U156" s="59"/>
      <c r="V156" s="59"/>
      <c r="W156" s="59"/>
      <c r="X156" s="58" t="s">
        <v>286</v>
      </c>
      <c r="Y156" s="58"/>
    </row>
    <row r="157" spans="1:25" ht="48" customHeight="1" x14ac:dyDescent="0.2">
      <c r="A157" s="42">
        <v>10</v>
      </c>
      <c r="B157" s="43" t="s">
        <v>373</v>
      </c>
      <c r="C157" s="58" t="s">
        <v>374</v>
      </c>
      <c r="D157" s="58"/>
      <c r="E157" s="58"/>
      <c r="F157" s="58"/>
      <c r="G157" s="58" t="s">
        <v>599</v>
      </c>
      <c r="H157" s="58"/>
      <c r="I157" s="58"/>
      <c r="J157" s="58"/>
      <c r="K157" s="58" t="s">
        <v>600</v>
      </c>
      <c r="L157" s="58"/>
      <c r="M157" s="58"/>
      <c r="N157" s="58"/>
      <c r="O157" s="59" t="s">
        <v>269</v>
      </c>
      <c r="P157" s="59"/>
      <c r="Q157" s="59"/>
      <c r="R157" s="59"/>
      <c r="S157" s="59"/>
      <c r="T157" s="59"/>
      <c r="U157" s="59"/>
      <c r="V157" s="59"/>
      <c r="W157" s="59"/>
      <c r="X157" s="58" t="s">
        <v>601</v>
      </c>
      <c r="Y157" s="58"/>
    </row>
    <row r="158" spans="1:25" ht="24" customHeight="1" x14ac:dyDescent="0.2"/>
    <row r="159" spans="1:25" ht="54" customHeight="1" x14ac:dyDescent="0.2">
      <c r="A159" s="37">
        <f>'Invetario de Tablas'!A21</f>
        <v>18</v>
      </c>
      <c r="B159" s="38" t="s">
        <v>177</v>
      </c>
      <c r="C159" s="52" t="str">
        <f>'Invetario de Tablas'!B21</f>
        <v>medio_pago</v>
      </c>
      <c r="D159" s="52"/>
      <c r="E159" s="52"/>
      <c r="F159" s="52"/>
      <c r="G159" s="53" t="s">
        <v>178</v>
      </c>
      <c r="H159" s="53"/>
      <c r="I159" s="53"/>
      <c r="J159" s="53"/>
      <c r="K159" s="54" t="str">
        <f>'Invetario de Tablas'!C21</f>
        <v>Catálogo de formas de pago (efectivo, transferencia, puntos pascualinos).</v>
      </c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39" t="s">
        <v>255</v>
      </c>
      <c r="Y159" s="32" t="s">
        <v>590</v>
      </c>
    </row>
    <row r="160" spans="1:25" ht="45" customHeight="1" x14ac:dyDescent="0.2">
      <c r="A160" s="40" t="s">
        <v>1</v>
      </c>
      <c r="B160" s="41" t="s">
        <v>257</v>
      </c>
      <c r="C160" s="55" t="s">
        <v>258</v>
      </c>
      <c r="D160" s="55"/>
      <c r="E160" s="55"/>
      <c r="F160" s="55"/>
      <c r="G160" s="56" t="s">
        <v>591</v>
      </c>
      <c r="H160" s="56"/>
      <c r="I160" s="56"/>
      <c r="J160" s="56"/>
      <c r="K160" s="55" t="s">
        <v>260</v>
      </c>
      <c r="L160" s="55"/>
      <c r="M160" s="55"/>
      <c r="N160" s="55"/>
      <c r="O160" s="55" t="s">
        <v>261</v>
      </c>
      <c r="P160" s="55"/>
      <c r="Q160" s="55"/>
      <c r="R160" s="55" t="s">
        <v>262</v>
      </c>
      <c r="S160" s="55"/>
      <c r="T160" s="55" t="s">
        <v>263</v>
      </c>
      <c r="U160" s="55"/>
      <c r="V160" s="55" t="s">
        <v>264</v>
      </c>
      <c r="W160" s="55"/>
      <c r="X160" s="57" t="s">
        <v>265</v>
      </c>
      <c r="Y160" s="57"/>
    </row>
    <row r="161" spans="1:25" ht="48" customHeight="1" x14ac:dyDescent="0.2">
      <c r="A161" s="42">
        <v>1</v>
      </c>
      <c r="B161" s="43" t="s">
        <v>488</v>
      </c>
      <c r="C161" s="58" t="s">
        <v>489</v>
      </c>
      <c r="D161" s="58"/>
      <c r="E161" s="58"/>
      <c r="F161" s="58"/>
      <c r="G161" s="58" t="s">
        <v>592</v>
      </c>
      <c r="H161" s="58"/>
      <c r="I161" s="58"/>
      <c r="J161" s="58"/>
      <c r="K161" s="58" t="s">
        <v>80</v>
      </c>
      <c r="L161" s="58"/>
      <c r="M161" s="58"/>
      <c r="N161" s="58"/>
      <c r="O161" s="59" t="s">
        <v>269</v>
      </c>
      <c r="P161" s="59"/>
      <c r="Q161" s="59"/>
      <c r="R161" s="59" t="s">
        <v>270</v>
      </c>
      <c r="S161" s="59"/>
      <c r="T161" s="59"/>
      <c r="U161" s="59"/>
      <c r="V161" s="59"/>
      <c r="W161" s="59"/>
      <c r="X161" s="49" t="s">
        <v>637</v>
      </c>
      <c r="Y161" s="49"/>
    </row>
    <row r="162" spans="1:25" ht="69" customHeight="1" x14ac:dyDescent="0.2">
      <c r="A162" s="42">
        <v>2</v>
      </c>
      <c r="B162" s="43" t="s">
        <v>490</v>
      </c>
      <c r="C162" s="58" t="s">
        <v>491</v>
      </c>
      <c r="D162" s="58"/>
      <c r="E162" s="58"/>
      <c r="F162" s="58"/>
      <c r="G162" s="58" t="s">
        <v>357</v>
      </c>
      <c r="H162" s="58"/>
      <c r="I162" s="58"/>
      <c r="J162" s="58"/>
      <c r="K162" s="58" t="s">
        <v>358</v>
      </c>
      <c r="L162" s="58"/>
      <c r="M162" s="58"/>
      <c r="N162" s="58"/>
      <c r="O162" s="59" t="s">
        <v>269</v>
      </c>
      <c r="P162" s="59"/>
      <c r="Q162" s="59"/>
      <c r="R162" s="59"/>
      <c r="S162" s="59"/>
      <c r="T162" s="59"/>
      <c r="U162" s="59"/>
      <c r="V162" s="59" t="s">
        <v>270</v>
      </c>
      <c r="W162" s="59"/>
      <c r="X162" s="58"/>
      <c r="Y162" s="58"/>
    </row>
    <row r="163" spans="1:25" ht="48" customHeight="1" x14ac:dyDescent="0.2">
      <c r="A163" s="42">
        <v>3</v>
      </c>
      <c r="B163" s="43" t="s">
        <v>492</v>
      </c>
      <c r="C163" s="58" t="s">
        <v>493</v>
      </c>
      <c r="D163" s="58"/>
      <c r="E163" s="58"/>
      <c r="F163" s="58"/>
      <c r="G163" s="58" t="s">
        <v>278</v>
      </c>
      <c r="H163" s="58"/>
      <c r="I163" s="58"/>
      <c r="J163" s="58"/>
      <c r="K163" s="58" t="s">
        <v>593</v>
      </c>
      <c r="L163" s="58"/>
      <c r="M163" s="58"/>
      <c r="N163" s="58"/>
      <c r="O163" s="59" t="s">
        <v>269</v>
      </c>
      <c r="P163" s="59"/>
      <c r="Q163" s="59"/>
      <c r="R163" s="59"/>
      <c r="S163" s="59"/>
      <c r="T163" s="59"/>
      <c r="U163" s="59"/>
      <c r="V163" s="59" t="s">
        <v>270</v>
      </c>
      <c r="W163" s="59"/>
      <c r="X163" s="58"/>
      <c r="Y163" s="58"/>
    </row>
    <row r="164" spans="1:25" ht="48" customHeight="1" x14ac:dyDescent="0.2">
      <c r="A164" s="42">
        <v>4</v>
      </c>
      <c r="B164" s="43" t="s">
        <v>494</v>
      </c>
      <c r="C164" s="58" t="s">
        <v>495</v>
      </c>
      <c r="D164" s="58"/>
      <c r="E164" s="58"/>
      <c r="F164" s="58"/>
      <c r="G164" s="58" t="s">
        <v>281</v>
      </c>
      <c r="H164" s="58"/>
      <c r="I164" s="58"/>
      <c r="J164" s="58"/>
      <c r="K164" s="58" t="s">
        <v>282</v>
      </c>
      <c r="L164" s="58"/>
      <c r="M164" s="58"/>
      <c r="N164" s="58"/>
      <c r="O164" s="59" t="s">
        <v>283</v>
      </c>
      <c r="P164" s="59"/>
      <c r="Q164" s="59"/>
      <c r="R164" s="59"/>
      <c r="S164" s="59"/>
      <c r="T164" s="59"/>
      <c r="U164" s="59"/>
      <c r="V164" s="59"/>
      <c r="W164" s="59"/>
      <c r="X164" s="58"/>
      <c r="Y164" s="58"/>
    </row>
    <row r="165" spans="1:25" ht="48" customHeight="1" x14ac:dyDescent="0.2">
      <c r="A165" s="42">
        <v>5</v>
      </c>
      <c r="B165" s="43" t="s">
        <v>284</v>
      </c>
      <c r="C165" s="58" t="s">
        <v>496</v>
      </c>
      <c r="D165" s="58"/>
      <c r="E165" s="58"/>
      <c r="F165" s="58"/>
      <c r="G165" s="58" t="s">
        <v>47</v>
      </c>
      <c r="H165" s="58"/>
      <c r="I165" s="58"/>
      <c r="J165" s="58"/>
      <c r="K165" s="58" t="s">
        <v>49</v>
      </c>
      <c r="L165" s="58"/>
      <c r="M165" s="58"/>
      <c r="N165" s="58"/>
      <c r="O165" s="59" t="s">
        <v>269</v>
      </c>
      <c r="P165" s="59"/>
      <c r="Q165" s="59"/>
      <c r="R165" s="59"/>
      <c r="S165" s="59"/>
      <c r="T165" s="59"/>
      <c r="U165" s="59"/>
      <c r="V165" s="59"/>
      <c r="W165" s="59"/>
      <c r="X165" s="58" t="s">
        <v>286</v>
      </c>
      <c r="Y165" s="58"/>
    </row>
    <row r="166" spans="1:25" ht="24" customHeight="1" x14ac:dyDescent="0.2"/>
    <row r="167" spans="1:25" ht="54" customHeight="1" x14ac:dyDescent="0.2">
      <c r="A167" s="37">
        <f>'Invetario de Tablas'!A22</f>
        <v>19</v>
      </c>
      <c r="B167" s="38" t="s">
        <v>177</v>
      </c>
      <c r="C167" s="52" t="str">
        <f>'Invetario de Tablas'!B22</f>
        <v>transaccion</v>
      </c>
      <c r="D167" s="52"/>
      <c r="E167" s="52"/>
      <c r="F167" s="52"/>
      <c r="G167" s="53" t="s">
        <v>178</v>
      </c>
      <c r="H167" s="53"/>
      <c r="I167" s="53"/>
      <c r="J167" s="53"/>
      <c r="K167" s="54" t="str">
        <f>'Invetario de Tablas'!C22</f>
        <v>Encabezado de la compraventa o contratación realizada.</v>
      </c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39" t="s">
        <v>255</v>
      </c>
      <c r="Y167" s="32" t="s">
        <v>590</v>
      </c>
    </row>
    <row r="168" spans="1:25" ht="45" customHeight="1" x14ac:dyDescent="0.2">
      <c r="A168" s="40" t="s">
        <v>1</v>
      </c>
      <c r="B168" s="41" t="s">
        <v>257</v>
      </c>
      <c r="C168" s="55" t="s">
        <v>258</v>
      </c>
      <c r="D168" s="55"/>
      <c r="E168" s="55"/>
      <c r="F168" s="55"/>
      <c r="G168" s="56" t="s">
        <v>591</v>
      </c>
      <c r="H168" s="56"/>
      <c r="I168" s="56"/>
      <c r="J168" s="56"/>
      <c r="K168" s="55" t="s">
        <v>260</v>
      </c>
      <c r="L168" s="55"/>
      <c r="M168" s="55"/>
      <c r="N168" s="55"/>
      <c r="O168" s="55" t="s">
        <v>261</v>
      </c>
      <c r="P168" s="55"/>
      <c r="Q168" s="55"/>
      <c r="R168" s="55" t="s">
        <v>262</v>
      </c>
      <c r="S168" s="55"/>
      <c r="T168" s="55" t="s">
        <v>263</v>
      </c>
      <c r="U168" s="55"/>
      <c r="V168" s="55" t="s">
        <v>264</v>
      </c>
      <c r="W168" s="55"/>
      <c r="X168" s="57" t="s">
        <v>265</v>
      </c>
      <c r="Y168" s="57"/>
    </row>
    <row r="169" spans="1:25" ht="48" customHeight="1" x14ac:dyDescent="0.2">
      <c r="A169" s="42">
        <v>1</v>
      </c>
      <c r="B169" s="43" t="s">
        <v>497</v>
      </c>
      <c r="C169" s="58" t="s">
        <v>498</v>
      </c>
      <c r="D169" s="58"/>
      <c r="E169" s="58"/>
      <c r="F169" s="58"/>
      <c r="G169" s="58" t="s">
        <v>594</v>
      </c>
      <c r="H169" s="58"/>
      <c r="I169" s="58"/>
      <c r="J169" s="58"/>
      <c r="K169" s="58" t="s">
        <v>89</v>
      </c>
      <c r="L169" s="58"/>
      <c r="M169" s="58"/>
      <c r="N169" s="58"/>
      <c r="O169" s="59" t="s">
        <v>269</v>
      </c>
      <c r="P169" s="59"/>
      <c r="Q169" s="59"/>
      <c r="R169" s="59" t="s">
        <v>270</v>
      </c>
      <c r="S169" s="59"/>
      <c r="T169" s="59"/>
      <c r="U169" s="59"/>
      <c r="V169" s="59"/>
      <c r="W169" s="59"/>
      <c r="X169" s="49" t="s">
        <v>637</v>
      </c>
      <c r="Y169" s="49"/>
    </row>
    <row r="170" spans="1:25" ht="48" customHeight="1" x14ac:dyDescent="0.2">
      <c r="A170" s="42">
        <v>2</v>
      </c>
      <c r="B170" s="43" t="s">
        <v>499</v>
      </c>
      <c r="C170" s="58" t="s">
        <v>500</v>
      </c>
      <c r="D170" s="58"/>
      <c r="E170" s="58"/>
      <c r="F170" s="58"/>
      <c r="G170" s="58" t="s">
        <v>595</v>
      </c>
      <c r="H170" s="58"/>
      <c r="I170" s="58"/>
      <c r="J170" s="58"/>
      <c r="K170" s="58" t="s">
        <v>596</v>
      </c>
      <c r="L170" s="58"/>
      <c r="M170" s="58"/>
      <c r="N170" s="58"/>
      <c r="O170" s="59" t="s">
        <v>269</v>
      </c>
      <c r="P170" s="59"/>
      <c r="Q170" s="59"/>
      <c r="R170" s="59"/>
      <c r="S170" s="59"/>
      <c r="T170" s="59"/>
      <c r="U170" s="59"/>
      <c r="V170" s="59" t="s">
        <v>270</v>
      </c>
      <c r="W170" s="59"/>
      <c r="X170" s="58" t="s">
        <v>597</v>
      </c>
      <c r="Y170" s="58"/>
    </row>
    <row r="171" spans="1:25" ht="48" customHeight="1" x14ac:dyDescent="0.2">
      <c r="A171" s="42">
        <v>3</v>
      </c>
      <c r="B171" s="43" t="s">
        <v>501</v>
      </c>
      <c r="C171" s="58" t="s">
        <v>502</v>
      </c>
      <c r="D171" s="58"/>
      <c r="E171" s="58"/>
      <c r="F171" s="58"/>
      <c r="G171" s="58" t="s">
        <v>334</v>
      </c>
      <c r="H171" s="58"/>
      <c r="I171" s="58"/>
      <c r="J171" s="58"/>
      <c r="K171" s="58" t="s">
        <v>89</v>
      </c>
      <c r="L171" s="58"/>
      <c r="M171" s="58"/>
      <c r="N171" s="58"/>
      <c r="O171" s="59" t="s">
        <v>269</v>
      </c>
      <c r="P171" s="59"/>
      <c r="Q171" s="59"/>
      <c r="R171" s="59"/>
      <c r="S171" s="59"/>
      <c r="T171" s="59" t="s">
        <v>270</v>
      </c>
      <c r="U171" s="59"/>
      <c r="V171" s="59"/>
      <c r="W171" s="59"/>
      <c r="X171" s="58" t="s">
        <v>335</v>
      </c>
      <c r="Y171" s="58"/>
    </row>
    <row r="172" spans="1:25" ht="48" customHeight="1" x14ac:dyDescent="0.2">
      <c r="A172" s="42">
        <v>4</v>
      </c>
      <c r="B172" s="43" t="s">
        <v>488</v>
      </c>
      <c r="C172" s="58" t="s">
        <v>503</v>
      </c>
      <c r="D172" s="58"/>
      <c r="E172" s="58"/>
      <c r="F172" s="58"/>
      <c r="G172" s="58" t="s">
        <v>598</v>
      </c>
      <c r="H172" s="58"/>
      <c r="I172" s="58"/>
      <c r="J172" s="58"/>
      <c r="K172" s="58" t="s">
        <v>80</v>
      </c>
      <c r="L172" s="58"/>
      <c r="M172" s="58"/>
      <c r="N172" s="58"/>
      <c r="O172" s="59" t="s">
        <v>269</v>
      </c>
      <c r="P172" s="59"/>
      <c r="Q172" s="59"/>
      <c r="R172" s="59"/>
      <c r="S172" s="59"/>
      <c r="T172" s="59" t="s">
        <v>270</v>
      </c>
      <c r="U172" s="59"/>
      <c r="V172" s="59"/>
      <c r="W172" s="59"/>
      <c r="X172" s="58" t="s">
        <v>504</v>
      </c>
      <c r="Y172" s="58"/>
    </row>
    <row r="173" spans="1:25" ht="48" customHeight="1" x14ac:dyDescent="0.2">
      <c r="A173" s="42">
        <v>5</v>
      </c>
      <c r="B173" s="43" t="s">
        <v>505</v>
      </c>
      <c r="C173" s="58" t="s">
        <v>506</v>
      </c>
      <c r="D173" s="58"/>
      <c r="E173" s="58"/>
      <c r="F173" s="58"/>
      <c r="G173" s="58" t="s">
        <v>605</v>
      </c>
      <c r="H173" s="58"/>
      <c r="I173" s="58"/>
      <c r="J173" s="58"/>
      <c r="K173" s="58" t="s">
        <v>606</v>
      </c>
      <c r="L173" s="58"/>
      <c r="M173" s="58"/>
      <c r="N173" s="58"/>
      <c r="O173" s="59" t="s">
        <v>269</v>
      </c>
      <c r="P173" s="59"/>
      <c r="Q173" s="59"/>
      <c r="R173" s="59"/>
      <c r="S173" s="59"/>
      <c r="T173" s="59"/>
      <c r="U173" s="59"/>
      <c r="V173" s="59"/>
      <c r="W173" s="59"/>
      <c r="X173" s="58" t="s">
        <v>463</v>
      </c>
      <c r="Y173" s="58"/>
    </row>
    <row r="174" spans="1:25" ht="48" customHeight="1" x14ac:dyDescent="0.2">
      <c r="A174" s="42">
        <v>6</v>
      </c>
      <c r="B174" s="43" t="s">
        <v>507</v>
      </c>
      <c r="C174" s="58" t="s">
        <v>508</v>
      </c>
      <c r="D174" s="58"/>
      <c r="E174" s="58"/>
      <c r="F174" s="58"/>
      <c r="G174" s="58" t="s">
        <v>607</v>
      </c>
      <c r="H174" s="58"/>
      <c r="I174" s="58"/>
      <c r="J174" s="58"/>
      <c r="K174" s="58" t="s">
        <v>122</v>
      </c>
      <c r="L174" s="58"/>
      <c r="M174" s="58"/>
      <c r="N174" s="58"/>
      <c r="O174" s="59" t="s">
        <v>269</v>
      </c>
      <c r="P174" s="59"/>
      <c r="Q174" s="59"/>
      <c r="R174" s="59"/>
      <c r="S174" s="59"/>
      <c r="T174" s="59"/>
      <c r="U174" s="59"/>
      <c r="V174" s="59"/>
      <c r="W174" s="59"/>
      <c r="X174" s="58"/>
      <c r="Y174" s="58"/>
    </row>
    <row r="175" spans="1:25" ht="48" customHeight="1" x14ac:dyDescent="0.2">
      <c r="A175" s="42">
        <v>7</v>
      </c>
      <c r="B175" s="43" t="s">
        <v>511</v>
      </c>
      <c r="C175" s="58" t="s">
        <v>512</v>
      </c>
      <c r="D175" s="58"/>
      <c r="E175" s="58"/>
      <c r="F175" s="58"/>
      <c r="G175" s="58" t="s">
        <v>599</v>
      </c>
      <c r="H175" s="58"/>
      <c r="I175" s="58"/>
      <c r="J175" s="58"/>
      <c r="K175" s="58" t="s">
        <v>600</v>
      </c>
      <c r="L175" s="58"/>
      <c r="M175" s="58"/>
      <c r="N175" s="58"/>
      <c r="O175" s="59" t="s">
        <v>269</v>
      </c>
      <c r="P175" s="59"/>
      <c r="Q175" s="59"/>
      <c r="R175" s="59"/>
      <c r="S175" s="59"/>
      <c r="T175" s="59"/>
      <c r="U175" s="59"/>
      <c r="V175" s="59"/>
      <c r="W175" s="59"/>
      <c r="X175" s="58" t="s">
        <v>601</v>
      </c>
      <c r="Y175" s="58"/>
    </row>
    <row r="176" spans="1:25" ht="24" customHeight="1" x14ac:dyDescent="0.2"/>
    <row r="177" spans="1:25" ht="54" customHeight="1" x14ac:dyDescent="0.2">
      <c r="A177" s="37">
        <f>'Invetario de Tablas'!A23</f>
        <v>20</v>
      </c>
      <c r="B177" s="38" t="s">
        <v>177</v>
      </c>
      <c r="C177" s="52" t="str">
        <f>'Invetario de Tablas'!B23</f>
        <v>detalle_transaccion</v>
      </c>
      <c r="D177" s="52"/>
      <c r="E177" s="52"/>
      <c r="F177" s="52"/>
      <c r="G177" s="53" t="s">
        <v>178</v>
      </c>
      <c r="H177" s="53"/>
      <c r="I177" s="53"/>
      <c r="J177" s="53"/>
      <c r="K177" s="54" t="str">
        <f>'Invetario de Tablas'!C23</f>
        <v>Traza detallada de la venta (artículo, cantidad, precio unitario).</v>
      </c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39" t="s">
        <v>255</v>
      </c>
      <c r="Y177" s="32" t="s">
        <v>590</v>
      </c>
    </row>
    <row r="178" spans="1:25" ht="45" customHeight="1" x14ac:dyDescent="0.2">
      <c r="A178" s="40" t="s">
        <v>1</v>
      </c>
      <c r="B178" s="41" t="s">
        <v>257</v>
      </c>
      <c r="C178" s="55" t="s">
        <v>258</v>
      </c>
      <c r="D178" s="55"/>
      <c r="E178" s="55"/>
      <c r="F178" s="55"/>
      <c r="G178" s="56" t="s">
        <v>591</v>
      </c>
      <c r="H178" s="56"/>
      <c r="I178" s="56"/>
      <c r="J178" s="56"/>
      <c r="K178" s="55" t="s">
        <v>260</v>
      </c>
      <c r="L178" s="55"/>
      <c r="M178" s="55"/>
      <c r="N178" s="55"/>
      <c r="O178" s="55" t="s">
        <v>261</v>
      </c>
      <c r="P178" s="55"/>
      <c r="Q178" s="55"/>
      <c r="R178" s="55" t="s">
        <v>262</v>
      </c>
      <c r="S178" s="55"/>
      <c r="T178" s="55" t="s">
        <v>263</v>
      </c>
      <c r="U178" s="55"/>
      <c r="V178" s="55" t="s">
        <v>264</v>
      </c>
      <c r="W178" s="55"/>
      <c r="X178" s="57" t="s">
        <v>265</v>
      </c>
      <c r="Y178" s="57"/>
    </row>
    <row r="179" spans="1:25" ht="48" customHeight="1" x14ac:dyDescent="0.2">
      <c r="A179" s="42">
        <v>1</v>
      </c>
      <c r="B179" s="43" t="s">
        <v>497</v>
      </c>
      <c r="C179" s="58" t="s">
        <v>513</v>
      </c>
      <c r="D179" s="58"/>
      <c r="E179" s="58"/>
      <c r="F179" s="58"/>
      <c r="G179" s="58" t="s">
        <v>334</v>
      </c>
      <c r="H179" s="58"/>
      <c r="I179" s="58"/>
      <c r="J179" s="58"/>
      <c r="K179" s="58" t="s">
        <v>89</v>
      </c>
      <c r="L179" s="58"/>
      <c r="M179" s="58"/>
      <c r="N179" s="58"/>
      <c r="O179" s="59" t="s">
        <v>269</v>
      </c>
      <c r="P179" s="59"/>
      <c r="Q179" s="59"/>
      <c r="R179" s="59" t="s">
        <v>270</v>
      </c>
      <c r="S179" s="59"/>
      <c r="T179" s="59" t="s">
        <v>270</v>
      </c>
      <c r="U179" s="59"/>
      <c r="V179" s="59"/>
      <c r="W179" s="59"/>
      <c r="X179" s="58" t="s">
        <v>514</v>
      </c>
      <c r="Y179" s="58"/>
    </row>
    <row r="180" spans="1:25" ht="48" customHeight="1" x14ac:dyDescent="0.2">
      <c r="A180" s="42">
        <v>2</v>
      </c>
      <c r="B180" s="43" t="s">
        <v>515</v>
      </c>
      <c r="C180" s="58" t="s">
        <v>516</v>
      </c>
      <c r="D180" s="58"/>
      <c r="E180" s="58"/>
      <c r="F180" s="58"/>
      <c r="G180" s="58" t="s">
        <v>598</v>
      </c>
      <c r="H180" s="58"/>
      <c r="I180" s="58"/>
      <c r="J180" s="58"/>
      <c r="K180" s="58" t="s">
        <v>80</v>
      </c>
      <c r="L180" s="58"/>
      <c r="M180" s="58"/>
      <c r="N180" s="58"/>
      <c r="O180" s="59" t="s">
        <v>269</v>
      </c>
      <c r="P180" s="59"/>
      <c r="Q180" s="59"/>
      <c r="R180" s="59" t="s">
        <v>270</v>
      </c>
      <c r="S180" s="59"/>
      <c r="T180" s="59"/>
      <c r="U180" s="59"/>
      <c r="V180" s="59"/>
      <c r="W180" s="59"/>
      <c r="X180" s="58" t="s">
        <v>380</v>
      </c>
      <c r="Y180" s="58"/>
    </row>
    <row r="181" spans="1:25" ht="69" customHeight="1" x14ac:dyDescent="0.2">
      <c r="A181" s="42">
        <v>3</v>
      </c>
      <c r="B181" s="43" t="s">
        <v>472</v>
      </c>
      <c r="C181" s="58" t="s">
        <v>517</v>
      </c>
      <c r="D181" s="58"/>
      <c r="E181" s="58"/>
      <c r="F181" s="58"/>
      <c r="G181" s="58" t="s">
        <v>334</v>
      </c>
      <c r="H181" s="58"/>
      <c r="I181" s="58"/>
      <c r="J181" s="58"/>
      <c r="K181" s="58" t="s">
        <v>89</v>
      </c>
      <c r="L181" s="58"/>
      <c r="M181" s="58"/>
      <c r="N181" s="58"/>
      <c r="O181" s="59" t="s">
        <v>283</v>
      </c>
      <c r="P181" s="59"/>
      <c r="Q181" s="59"/>
      <c r="R181" s="59"/>
      <c r="S181" s="59"/>
      <c r="T181" s="59" t="s">
        <v>270</v>
      </c>
      <c r="U181" s="59"/>
      <c r="V181" s="59"/>
      <c r="W181" s="59"/>
      <c r="X181" s="58" t="s">
        <v>518</v>
      </c>
      <c r="Y181" s="58"/>
    </row>
    <row r="182" spans="1:25" ht="69" customHeight="1" x14ac:dyDescent="0.2">
      <c r="A182" s="42">
        <v>4</v>
      </c>
      <c r="B182" s="43" t="s">
        <v>451</v>
      </c>
      <c r="C182" s="58" t="s">
        <v>519</v>
      </c>
      <c r="D182" s="58"/>
      <c r="E182" s="58"/>
      <c r="F182" s="58"/>
      <c r="G182" s="58" t="s">
        <v>334</v>
      </c>
      <c r="H182" s="58"/>
      <c r="I182" s="58"/>
      <c r="J182" s="58"/>
      <c r="K182" s="58" t="s">
        <v>89</v>
      </c>
      <c r="L182" s="58"/>
      <c r="M182" s="58"/>
      <c r="N182" s="58"/>
      <c r="O182" s="59" t="s">
        <v>283</v>
      </c>
      <c r="P182" s="59"/>
      <c r="Q182" s="59"/>
      <c r="R182" s="59"/>
      <c r="S182" s="59"/>
      <c r="T182" s="59" t="s">
        <v>270</v>
      </c>
      <c r="U182" s="59"/>
      <c r="V182" s="59"/>
      <c r="W182" s="59"/>
      <c r="X182" s="58" t="s">
        <v>520</v>
      </c>
      <c r="Y182" s="58"/>
    </row>
    <row r="183" spans="1:25" ht="48" customHeight="1" x14ac:dyDescent="0.2">
      <c r="A183" s="42">
        <v>5</v>
      </c>
      <c r="B183" s="43" t="s">
        <v>521</v>
      </c>
      <c r="C183" s="58" t="s">
        <v>522</v>
      </c>
      <c r="D183" s="58"/>
      <c r="E183" s="58"/>
      <c r="F183" s="58"/>
      <c r="G183" s="58" t="s">
        <v>598</v>
      </c>
      <c r="H183" s="58"/>
      <c r="I183" s="58"/>
      <c r="J183" s="58"/>
      <c r="K183" s="58" t="s">
        <v>80</v>
      </c>
      <c r="L183" s="58"/>
      <c r="M183" s="58"/>
      <c r="N183" s="58"/>
      <c r="O183" s="59" t="s">
        <v>269</v>
      </c>
      <c r="P183" s="59"/>
      <c r="Q183" s="59"/>
      <c r="R183" s="59"/>
      <c r="S183" s="59"/>
      <c r="T183" s="59"/>
      <c r="U183" s="59"/>
      <c r="V183" s="59"/>
      <c r="W183" s="59"/>
      <c r="X183" s="58" t="s">
        <v>523</v>
      </c>
      <c r="Y183" s="58"/>
    </row>
    <row r="184" spans="1:25" ht="48" customHeight="1" x14ac:dyDescent="0.2">
      <c r="A184" s="42">
        <v>6</v>
      </c>
      <c r="B184" s="43" t="s">
        <v>524</v>
      </c>
      <c r="C184" s="58" t="s">
        <v>525</v>
      </c>
      <c r="D184" s="58"/>
      <c r="E184" s="58"/>
      <c r="F184" s="58"/>
      <c r="G184" s="58" t="s">
        <v>605</v>
      </c>
      <c r="H184" s="58"/>
      <c r="I184" s="58"/>
      <c r="J184" s="58"/>
      <c r="K184" s="58" t="s">
        <v>606</v>
      </c>
      <c r="L184" s="58"/>
      <c r="M184" s="58"/>
      <c r="N184" s="58"/>
      <c r="O184" s="59" t="s">
        <v>269</v>
      </c>
      <c r="P184" s="59"/>
      <c r="Q184" s="59"/>
      <c r="R184" s="59"/>
      <c r="S184" s="59"/>
      <c r="T184" s="59"/>
      <c r="U184" s="59"/>
      <c r="V184" s="59"/>
      <c r="W184" s="59"/>
      <c r="X184" s="58" t="s">
        <v>463</v>
      </c>
      <c r="Y184" s="58"/>
    </row>
    <row r="185" spans="1:25" ht="24" customHeight="1" x14ac:dyDescent="0.2"/>
    <row r="186" spans="1:25" ht="54" customHeight="1" x14ac:dyDescent="0.2">
      <c r="A186" s="37">
        <f>'Invetario de Tablas'!A24</f>
        <v>21</v>
      </c>
      <c r="B186" s="38" t="s">
        <v>177</v>
      </c>
      <c r="C186" s="52" t="str">
        <f>'Invetario de Tablas'!B24</f>
        <v>tipo_evento</v>
      </c>
      <c r="D186" s="52"/>
      <c r="E186" s="52"/>
      <c r="F186" s="52"/>
      <c r="G186" s="53" t="s">
        <v>178</v>
      </c>
      <c r="H186" s="53"/>
      <c r="I186" s="53"/>
      <c r="J186" s="53"/>
      <c r="K186" s="54" t="str">
        <f>'Invetario de Tablas'!C24</f>
        <v>Catálogo de tipos de evento (taller, conferencia, reunión de estudio).</v>
      </c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39" t="s">
        <v>255</v>
      </c>
      <c r="Y186" s="32" t="s">
        <v>590</v>
      </c>
    </row>
    <row r="187" spans="1:25" ht="45" customHeight="1" x14ac:dyDescent="0.2">
      <c r="A187" s="40" t="s">
        <v>1</v>
      </c>
      <c r="B187" s="41" t="s">
        <v>257</v>
      </c>
      <c r="C187" s="55" t="s">
        <v>258</v>
      </c>
      <c r="D187" s="55"/>
      <c r="E187" s="55"/>
      <c r="F187" s="55"/>
      <c r="G187" s="56" t="s">
        <v>591</v>
      </c>
      <c r="H187" s="56"/>
      <c r="I187" s="56"/>
      <c r="J187" s="56"/>
      <c r="K187" s="55" t="s">
        <v>260</v>
      </c>
      <c r="L187" s="55"/>
      <c r="M187" s="55"/>
      <c r="N187" s="55"/>
      <c r="O187" s="55" t="s">
        <v>261</v>
      </c>
      <c r="P187" s="55"/>
      <c r="Q187" s="55"/>
      <c r="R187" s="55" t="s">
        <v>262</v>
      </c>
      <c r="S187" s="55"/>
      <c r="T187" s="55" t="s">
        <v>263</v>
      </c>
      <c r="U187" s="55"/>
      <c r="V187" s="55" t="s">
        <v>264</v>
      </c>
      <c r="W187" s="55"/>
      <c r="X187" s="57" t="s">
        <v>265</v>
      </c>
      <c r="Y187" s="57"/>
    </row>
    <row r="188" spans="1:25" ht="48" customHeight="1" x14ac:dyDescent="0.2">
      <c r="A188" s="42">
        <v>1</v>
      </c>
      <c r="B188" s="43" t="s">
        <v>526</v>
      </c>
      <c r="C188" s="58" t="s">
        <v>527</v>
      </c>
      <c r="D188" s="58"/>
      <c r="E188" s="58"/>
      <c r="F188" s="58"/>
      <c r="G188" s="58" t="s">
        <v>592</v>
      </c>
      <c r="H188" s="58"/>
      <c r="I188" s="58"/>
      <c r="J188" s="58"/>
      <c r="K188" s="58" t="s">
        <v>80</v>
      </c>
      <c r="L188" s="58"/>
      <c r="M188" s="58"/>
      <c r="N188" s="58"/>
      <c r="O188" s="59" t="s">
        <v>269</v>
      </c>
      <c r="P188" s="59"/>
      <c r="Q188" s="59"/>
      <c r="R188" s="59" t="s">
        <v>270</v>
      </c>
      <c r="S188" s="59"/>
      <c r="T188" s="59"/>
      <c r="U188" s="59"/>
      <c r="V188" s="59"/>
      <c r="W188" s="59"/>
      <c r="X188" s="49" t="s">
        <v>637</v>
      </c>
      <c r="Y188" s="49"/>
    </row>
    <row r="189" spans="1:25" ht="48" customHeight="1" x14ac:dyDescent="0.2">
      <c r="A189" s="42">
        <v>2</v>
      </c>
      <c r="B189" s="43" t="s">
        <v>528</v>
      </c>
      <c r="C189" s="58" t="s">
        <v>529</v>
      </c>
      <c r="D189" s="58"/>
      <c r="E189" s="58"/>
      <c r="F189" s="58"/>
      <c r="G189" s="58" t="s">
        <v>357</v>
      </c>
      <c r="H189" s="58"/>
      <c r="I189" s="58"/>
      <c r="J189" s="58"/>
      <c r="K189" s="58" t="s">
        <v>358</v>
      </c>
      <c r="L189" s="58"/>
      <c r="M189" s="58"/>
      <c r="N189" s="58"/>
      <c r="O189" s="59" t="s">
        <v>269</v>
      </c>
      <c r="P189" s="59"/>
      <c r="Q189" s="59"/>
      <c r="R189" s="59"/>
      <c r="S189" s="59"/>
      <c r="T189" s="59"/>
      <c r="U189" s="59"/>
      <c r="V189" s="59" t="s">
        <v>270</v>
      </c>
      <c r="W189" s="59"/>
      <c r="X189" s="58"/>
      <c r="Y189" s="58"/>
    </row>
    <row r="190" spans="1:25" ht="69" customHeight="1" x14ac:dyDescent="0.2">
      <c r="A190" s="42">
        <v>3</v>
      </c>
      <c r="B190" s="43" t="s">
        <v>530</v>
      </c>
      <c r="C190" s="58" t="s">
        <v>531</v>
      </c>
      <c r="D190" s="58"/>
      <c r="E190" s="58"/>
      <c r="F190" s="58"/>
      <c r="G190" s="58" t="s">
        <v>281</v>
      </c>
      <c r="H190" s="58"/>
      <c r="I190" s="58"/>
      <c r="J190" s="58"/>
      <c r="K190" s="58" t="s">
        <v>282</v>
      </c>
      <c r="L190" s="58"/>
      <c r="M190" s="58"/>
      <c r="N190" s="58"/>
      <c r="O190" s="59" t="s">
        <v>283</v>
      </c>
      <c r="P190" s="59"/>
      <c r="Q190" s="59"/>
      <c r="R190" s="59"/>
      <c r="S190" s="59"/>
      <c r="T190" s="59"/>
      <c r="U190" s="59"/>
      <c r="V190" s="59"/>
      <c r="W190" s="59"/>
      <c r="X190" s="58"/>
      <c r="Y190" s="58"/>
    </row>
    <row r="191" spans="1:25" ht="48" customHeight="1" x14ac:dyDescent="0.2">
      <c r="A191" s="42">
        <v>4</v>
      </c>
      <c r="B191" s="43" t="s">
        <v>284</v>
      </c>
      <c r="C191" s="58" t="s">
        <v>361</v>
      </c>
      <c r="D191" s="58"/>
      <c r="E191" s="58"/>
      <c r="F191" s="58"/>
      <c r="G191" s="58" t="s">
        <v>47</v>
      </c>
      <c r="H191" s="58"/>
      <c r="I191" s="58"/>
      <c r="J191" s="58"/>
      <c r="K191" s="58" t="s">
        <v>49</v>
      </c>
      <c r="L191" s="58"/>
      <c r="M191" s="58"/>
      <c r="N191" s="58"/>
      <c r="O191" s="59" t="s">
        <v>269</v>
      </c>
      <c r="P191" s="59"/>
      <c r="Q191" s="59"/>
      <c r="R191" s="59"/>
      <c r="S191" s="59"/>
      <c r="T191" s="59"/>
      <c r="U191" s="59"/>
      <c r="V191" s="59"/>
      <c r="W191" s="59"/>
      <c r="X191" s="58" t="s">
        <v>286</v>
      </c>
      <c r="Y191" s="58"/>
    </row>
    <row r="192" spans="1:25" ht="24" customHeight="1" x14ac:dyDescent="0.2"/>
    <row r="193" spans="1:25" ht="54" customHeight="1" x14ac:dyDescent="0.2">
      <c r="A193" s="37">
        <f>'Invetario de Tablas'!A25</f>
        <v>22</v>
      </c>
      <c r="B193" s="38" t="s">
        <v>177</v>
      </c>
      <c r="C193" s="52" t="str">
        <f>'Invetario de Tablas'!B25</f>
        <v>evento</v>
      </c>
      <c r="D193" s="52"/>
      <c r="E193" s="52"/>
      <c r="F193" s="52"/>
      <c r="G193" s="53" t="s">
        <v>178</v>
      </c>
      <c r="H193" s="53"/>
      <c r="I193" s="53"/>
      <c r="J193" s="53"/>
      <c r="K193" s="54" t="str">
        <f>'Invetario de Tablas'!C25</f>
        <v>Eventos académicos o sociales organizados dentro de la comunidad.</v>
      </c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39" t="s">
        <v>255</v>
      </c>
      <c r="Y193" s="32" t="s">
        <v>590</v>
      </c>
    </row>
    <row r="194" spans="1:25" ht="45" customHeight="1" x14ac:dyDescent="0.2">
      <c r="A194" s="40" t="s">
        <v>1</v>
      </c>
      <c r="B194" s="41" t="s">
        <v>257</v>
      </c>
      <c r="C194" s="55" t="s">
        <v>258</v>
      </c>
      <c r="D194" s="55"/>
      <c r="E194" s="55"/>
      <c r="F194" s="55"/>
      <c r="G194" s="56" t="s">
        <v>591</v>
      </c>
      <c r="H194" s="56"/>
      <c r="I194" s="56"/>
      <c r="J194" s="56"/>
      <c r="K194" s="55" t="s">
        <v>260</v>
      </c>
      <c r="L194" s="55"/>
      <c r="M194" s="55"/>
      <c r="N194" s="55"/>
      <c r="O194" s="55" t="s">
        <v>261</v>
      </c>
      <c r="P194" s="55"/>
      <c r="Q194" s="55"/>
      <c r="R194" s="55" t="s">
        <v>262</v>
      </c>
      <c r="S194" s="55"/>
      <c r="T194" s="55" t="s">
        <v>263</v>
      </c>
      <c r="U194" s="55"/>
      <c r="V194" s="55" t="s">
        <v>264</v>
      </c>
      <c r="W194" s="55"/>
      <c r="X194" s="57" t="s">
        <v>265</v>
      </c>
      <c r="Y194" s="57"/>
    </row>
    <row r="195" spans="1:25" ht="30" customHeight="1" x14ac:dyDescent="0.2">
      <c r="A195" s="42">
        <v>1</v>
      </c>
      <c r="B195" s="43" t="s">
        <v>532</v>
      </c>
      <c r="C195" s="58" t="s">
        <v>533</v>
      </c>
      <c r="D195" s="58"/>
      <c r="E195" s="58"/>
      <c r="F195" s="58"/>
      <c r="G195" s="58" t="s">
        <v>594</v>
      </c>
      <c r="H195" s="58"/>
      <c r="I195" s="58"/>
      <c r="J195" s="58"/>
      <c r="K195" s="58" t="s">
        <v>89</v>
      </c>
      <c r="L195" s="58"/>
      <c r="M195" s="58"/>
      <c r="N195" s="58"/>
      <c r="O195" s="59" t="s">
        <v>269</v>
      </c>
      <c r="P195" s="59"/>
      <c r="Q195" s="59"/>
      <c r="R195" s="59" t="s">
        <v>270</v>
      </c>
      <c r="S195" s="59"/>
      <c r="T195" s="59"/>
      <c r="U195" s="59"/>
      <c r="V195" s="59"/>
      <c r="W195" s="59"/>
      <c r="X195" s="49" t="s">
        <v>637</v>
      </c>
      <c r="Y195" s="49"/>
    </row>
    <row r="196" spans="1:25" ht="48" customHeight="1" x14ac:dyDescent="0.2">
      <c r="A196" s="42">
        <v>2</v>
      </c>
      <c r="B196" s="43" t="s">
        <v>534</v>
      </c>
      <c r="C196" s="58" t="s">
        <v>535</v>
      </c>
      <c r="D196" s="58"/>
      <c r="E196" s="58"/>
      <c r="F196" s="58"/>
      <c r="G196" s="58" t="s">
        <v>334</v>
      </c>
      <c r="H196" s="58"/>
      <c r="I196" s="58"/>
      <c r="J196" s="58"/>
      <c r="K196" s="58" t="s">
        <v>89</v>
      </c>
      <c r="L196" s="58"/>
      <c r="M196" s="58"/>
      <c r="N196" s="58"/>
      <c r="O196" s="59" t="s">
        <v>269</v>
      </c>
      <c r="P196" s="59"/>
      <c r="Q196" s="59"/>
      <c r="R196" s="59"/>
      <c r="S196" s="59"/>
      <c r="T196" s="59" t="s">
        <v>270</v>
      </c>
      <c r="U196" s="59"/>
      <c r="V196" s="59"/>
      <c r="W196" s="59"/>
      <c r="X196" s="58" t="s">
        <v>335</v>
      </c>
      <c r="Y196" s="58"/>
    </row>
    <row r="197" spans="1:25" ht="48" customHeight="1" x14ac:dyDescent="0.2">
      <c r="A197" s="42">
        <v>3</v>
      </c>
      <c r="B197" s="43" t="s">
        <v>526</v>
      </c>
      <c r="C197" s="58" t="s">
        <v>536</v>
      </c>
      <c r="D197" s="58"/>
      <c r="E197" s="58"/>
      <c r="F197" s="58"/>
      <c r="G197" s="58" t="s">
        <v>598</v>
      </c>
      <c r="H197" s="58"/>
      <c r="I197" s="58"/>
      <c r="J197" s="58"/>
      <c r="K197" s="58" t="s">
        <v>80</v>
      </c>
      <c r="L197" s="58"/>
      <c r="M197" s="58"/>
      <c r="N197" s="58"/>
      <c r="O197" s="59" t="s">
        <v>269</v>
      </c>
      <c r="P197" s="59"/>
      <c r="Q197" s="59"/>
      <c r="R197" s="59"/>
      <c r="S197" s="59"/>
      <c r="T197" s="59" t="s">
        <v>270</v>
      </c>
      <c r="U197" s="59"/>
      <c r="V197" s="59"/>
      <c r="W197" s="59"/>
      <c r="X197" s="58" t="s">
        <v>537</v>
      </c>
      <c r="Y197" s="58"/>
    </row>
    <row r="198" spans="1:25" ht="30" customHeight="1" x14ac:dyDescent="0.2">
      <c r="A198" s="42">
        <v>4</v>
      </c>
      <c r="B198" s="43" t="s">
        <v>538</v>
      </c>
      <c r="C198" s="58" t="s">
        <v>539</v>
      </c>
      <c r="D198" s="58"/>
      <c r="E198" s="58"/>
      <c r="F198" s="58"/>
      <c r="G198" s="58" t="s">
        <v>344</v>
      </c>
      <c r="H198" s="58"/>
      <c r="I198" s="58"/>
      <c r="J198" s="58"/>
      <c r="K198" s="58" t="s">
        <v>345</v>
      </c>
      <c r="L198" s="58"/>
      <c r="M198" s="58"/>
      <c r="N198" s="58"/>
      <c r="O198" s="59" t="s">
        <v>269</v>
      </c>
      <c r="P198" s="59"/>
      <c r="Q198" s="59"/>
      <c r="R198" s="59"/>
      <c r="S198" s="59"/>
      <c r="T198" s="59"/>
      <c r="U198" s="59"/>
      <c r="V198" s="59"/>
      <c r="W198" s="59"/>
      <c r="X198" s="58"/>
      <c r="Y198" s="58"/>
    </row>
    <row r="199" spans="1:25" ht="69" customHeight="1" x14ac:dyDescent="0.2">
      <c r="A199" s="42">
        <v>5</v>
      </c>
      <c r="B199" s="43" t="s">
        <v>540</v>
      </c>
      <c r="C199" s="58" t="s">
        <v>541</v>
      </c>
      <c r="D199" s="58"/>
      <c r="E199" s="58"/>
      <c r="F199" s="58"/>
      <c r="G199" s="58" t="s">
        <v>57</v>
      </c>
      <c r="H199" s="58"/>
      <c r="I199" s="58"/>
      <c r="J199" s="58"/>
      <c r="K199" s="58" t="s">
        <v>602</v>
      </c>
      <c r="L199" s="58"/>
      <c r="M199" s="58"/>
      <c r="N199" s="58"/>
      <c r="O199" s="59" t="s">
        <v>283</v>
      </c>
      <c r="P199" s="59"/>
      <c r="Q199" s="59"/>
      <c r="R199" s="59"/>
      <c r="S199" s="59"/>
      <c r="T199" s="59"/>
      <c r="U199" s="59"/>
      <c r="V199" s="59"/>
      <c r="W199" s="59"/>
      <c r="X199" s="58"/>
      <c r="Y199" s="58"/>
    </row>
    <row r="200" spans="1:25" ht="30" customHeight="1" x14ac:dyDescent="0.2">
      <c r="A200" s="42">
        <v>6</v>
      </c>
      <c r="B200" s="43" t="s">
        <v>542</v>
      </c>
      <c r="C200" s="58" t="s">
        <v>543</v>
      </c>
      <c r="D200" s="58"/>
      <c r="E200" s="58"/>
      <c r="F200" s="58"/>
      <c r="G200" s="58" t="s">
        <v>78</v>
      </c>
      <c r="H200" s="58"/>
      <c r="I200" s="58"/>
      <c r="J200" s="58"/>
      <c r="K200" s="58" t="s">
        <v>82</v>
      </c>
      <c r="L200" s="58"/>
      <c r="M200" s="58"/>
      <c r="N200" s="58"/>
      <c r="O200" s="59" t="s">
        <v>269</v>
      </c>
      <c r="P200" s="59"/>
      <c r="Q200" s="59"/>
      <c r="R200" s="59"/>
      <c r="S200" s="59"/>
      <c r="T200" s="59"/>
      <c r="U200" s="59"/>
      <c r="V200" s="59"/>
      <c r="W200" s="59"/>
      <c r="X200" s="58"/>
      <c r="Y200" s="58"/>
    </row>
    <row r="201" spans="1:25" ht="48" customHeight="1" x14ac:dyDescent="0.2">
      <c r="A201" s="42">
        <v>7</v>
      </c>
      <c r="B201" s="43" t="s">
        <v>544</v>
      </c>
      <c r="C201" s="58" t="s">
        <v>545</v>
      </c>
      <c r="D201" s="58"/>
      <c r="E201" s="58"/>
      <c r="F201" s="58"/>
      <c r="G201" s="58" t="s">
        <v>99</v>
      </c>
      <c r="H201" s="58"/>
      <c r="I201" s="58"/>
      <c r="J201" s="58"/>
      <c r="K201" s="58" t="s">
        <v>102</v>
      </c>
      <c r="L201" s="58"/>
      <c r="M201" s="58"/>
      <c r="N201" s="58"/>
      <c r="O201" s="59" t="s">
        <v>269</v>
      </c>
      <c r="P201" s="59"/>
      <c r="Q201" s="59"/>
      <c r="R201" s="59"/>
      <c r="S201" s="59"/>
      <c r="T201" s="59"/>
      <c r="U201" s="59"/>
      <c r="V201" s="59"/>
      <c r="W201" s="59"/>
      <c r="X201" s="58"/>
      <c r="Y201" s="58"/>
    </row>
    <row r="202" spans="1:25" ht="48" customHeight="1" x14ac:dyDescent="0.2">
      <c r="A202" s="42">
        <v>8</v>
      </c>
      <c r="B202" s="43" t="s">
        <v>546</v>
      </c>
      <c r="C202" s="58" t="s">
        <v>547</v>
      </c>
      <c r="D202" s="58"/>
      <c r="E202" s="58"/>
      <c r="F202" s="58"/>
      <c r="G202" s="58" t="s">
        <v>99</v>
      </c>
      <c r="H202" s="58"/>
      <c r="I202" s="58"/>
      <c r="J202" s="58"/>
      <c r="K202" s="58" t="s">
        <v>102</v>
      </c>
      <c r="L202" s="58"/>
      <c r="M202" s="58"/>
      <c r="N202" s="58"/>
      <c r="O202" s="59" t="s">
        <v>283</v>
      </c>
      <c r="P202" s="59"/>
      <c r="Q202" s="59"/>
      <c r="R202" s="59"/>
      <c r="S202" s="59"/>
      <c r="T202" s="59"/>
      <c r="U202" s="59"/>
      <c r="V202" s="59"/>
      <c r="W202" s="59"/>
      <c r="X202" s="58"/>
      <c r="Y202" s="58"/>
    </row>
    <row r="203" spans="1:25" ht="48" customHeight="1" x14ac:dyDescent="0.2">
      <c r="A203" s="42">
        <v>9</v>
      </c>
      <c r="B203" s="43" t="s">
        <v>548</v>
      </c>
      <c r="C203" s="58" t="s">
        <v>549</v>
      </c>
      <c r="D203" s="58"/>
      <c r="E203" s="58"/>
      <c r="F203" s="58"/>
      <c r="G203" s="58" t="s">
        <v>281</v>
      </c>
      <c r="H203" s="58"/>
      <c r="I203" s="58"/>
      <c r="J203" s="58"/>
      <c r="K203" s="58" t="s">
        <v>282</v>
      </c>
      <c r="L203" s="58"/>
      <c r="M203" s="58"/>
      <c r="N203" s="58"/>
      <c r="O203" s="59" t="s">
        <v>283</v>
      </c>
      <c r="P203" s="59"/>
      <c r="Q203" s="59"/>
      <c r="R203" s="59"/>
      <c r="S203" s="59"/>
      <c r="T203" s="59"/>
      <c r="U203" s="59"/>
      <c r="V203" s="59"/>
      <c r="W203" s="59"/>
      <c r="X203" s="58"/>
      <c r="Y203" s="58"/>
    </row>
    <row r="204" spans="1:25" ht="24" customHeight="1" x14ac:dyDescent="0.2"/>
    <row r="205" spans="1:25" ht="54" customHeight="1" x14ac:dyDescent="0.2">
      <c r="A205" s="37">
        <f>'Invetario de Tablas'!A26</f>
        <v>23</v>
      </c>
      <c r="B205" s="38" t="s">
        <v>177</v>
      </c>
      <c r="C205" s="52" t="str">
        <f>'Invetario de Tablas'!B26</f>
        <v>usuario_evento</v>
      </c>
      <c r="D205" s="52"/>
      <c r="E205" s="52"/>
      <c r="F205" s="52"/>
      <c r="G205" s="53" t="s">
        <v>178</v>
      </c>
      <c r="H205" s="53"/>
      <c r="I205" s="53"/>
      <c r="J205" s="53"/>
      <c r="K205" s="54" t="str">
        <f>'Invetario de Tablas'!C26</f>
        <v>Asistencia y participación de los usuarios en los eventos.</v>
      </c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39" t="s">
        <v>255</v>
      </c>
      <c r="Y205" s="32" t="s">
        <v>590</v>
      </c>
    </row>
    <row r="206" spans="1:25" ht="45" customHeight="1" x14ac:dyDescent="0.2">
      <c r="A206" s="40" t="s">
        <v>1</v>
      </c>
      <c r="B206" s="41" t="s">
        <v>257</v>
      </c>
      <c r="C206" s="55" t="s">
        <v>258</v>
      </c>
      <c r="D206" s="55"/>
      <c r="E206" s="55"/>
      <c r="F206" s="55"/>
      <c r="G206" s="56" t="s">
        <v>591</v>
      </c>
      <c r="H206" s="56"/>
      <c r="I206" s="56"/>
      <c r="J206" s="56"/>
      <c r="K206" s="55" t="s">
        <v>260</v>
      </c>
      <c r="L206" s="55"/>
      <c r="M206" s="55"/>
      <c r="N206" s="55"/>
      <c r="O206" s="55" t="s">
        <v>261</v>
      </c>
      <c r="P206" s="55"/>
      <c r="Q206" s="55"/>
      <c r="R206" s="55" t="s">
        <v>262</v>
      </c>
      <c r="S206" s="55"/>
      <c r="T206" s="55" t="s">
        <v>263</v>
      </c>
      <c r="U206" s="55"/>
      <c r="V206" s="55" t="s">
        <v>264</v>
      </c>
      <c r="W206" s="55"/>
      <c r="X206" s="57" t="s">
        <v>265</v>
      </c>
      <c r="Y206" s="57"/>
    </row>
    <row r="207" spans="1:25" ht="30" customHeight="1" x14ac:dyDescent="0.2">
      <c r="A207" s="42">
        <v>1</v>
      </c>
      <c r="B207" s="43" t="s">
        <v>297</v>
      </c>
      <c r="C207" s="58" t="s">
        <v>550</v>
      </c>
      <c r="D207" s="58"/>
      <c r="E207" s="58"/>
      <c r="F207" s="58"/>
      <c r="G207" s="58" t="s">
        <v>334</v>
      </c>
      <c r="H207" s="58"/>
      <c r="I207" s="58"/>
      <c r="J207" s="58"/>
      <c r="K207" s="58" t="s">
        <v>89</v>
      </c>
      <c r="L207" s="58"/>
      <c r="M207" s="58"/>
      <c r="N207" s="58"/>
      <c r="O207" s="59" t="s">
        <v>269</v>
      </c>
      <c r="P207" s="59"/>
      <c r="Q207" s="59"/>
      <c r="R207" s="59" t="s">
        <v>270</v>
      </c>
      <c r="S207" s="59"/>
      <c r="T207" s="59" t="s">
        <v>270</v>
      </c>
      <c r="U207" s="59"/>
      <c r="V207" s="59"/>
      <c r="W207" s="59"/>
      <c r="X207" s="58" t="s">
        <v>335</v>
      </c>
      <c r="Y207" s="58"/>
    </row>
    <row r="208" spans="1:25" ht="30" customHeight="1" x14ac:dyDescent="0.2">
      <c r="A208" s="42">
        <v>2</v>
      </c>
      <c r="B208" s="43" t="s">
        <v>532</v>
      </c>
      <c r="C208" s="58" t="s">
        <v>551</v>
      </c>
      <c r="D208" s="58"/>
      <c r="E208" s="58"/>
      <c r="F208" s="58"/>
      <c r="G208" s="58" t="s">
        <v>334</v>
      </c>
      <c r="H208" s="58"/>
      <c r="I208" s="58"/>
      <c r="J208" s="58"/>
      <c r="K208" s="58" t="s">
        <v>89</v>
      </c>
      <c r="L208" s="58"/>
      <c r="M208" s="58"/>
      <c r="N208" s="58"/>
      <c r="O208" s="59" t="s">
        <v>269</v>
      </c>
      <c r="P208" s="59"/>
      <c r="Q208" s="59"/>
      <c r="R208" s="59" t="s">
        <v>270</v>
      </c>
      <c r="S208" s="59"/>
      <c r="T208" s="59" t="s">
        <v>270</v>
      </c>
      <c r="U208" s="59"/>
      <c r="V208" s="59"/>
      <c r="W208" s="59"/>
      <c r="X208" s="58" t="s">
        <v>552</v>
      </c>
      <c r="Y208" s="58"/>
    </row>
    <row r="209" spans="1:25" ht="48" customHeight="1" x14ac:dyDescent="0.2">
      <c r="A209" s="42">
        <v>3</v>
      </c>
      <c r="B209" s="43" t="s">
        <v>553</v>
      </c>
      <c r="C209" s="58" t="s">
        <v>554</v>
      </c>
      <c r="D209" s="58"/>
      <c r="E209" s="58"/>
      <c r="F209" s="58"/>
      <c r="G209" s="58" t="s">
        <v>599</v>
      </c>
      <c r="H209" s="58"/>
      <c r="I209" s="58"/>
      <c r="J209" s="58"/>
      <c r="K209" s="58" t="s">
        <v>600</v>
      </c>
      <c r="L209" s="58"/>
      <c r="M209" s="58"/>
      <c r="N209" s="58"/>
      <c r="O209" s="59" t="s">
        <v>269</v>
      </c>
      <c r="P209" s="59"/>
      <c r="Q209" s="59"/>
      <c r="R209" s="59"/>
      <c r="S209" s="59"/>
      <c r="T209" s="59"/>
      <c r="U209" s="59"/>
      <c r="V209" s="59"/>
      <c r="W209" s="59"/>
      <c r="X209" s="58" t="s">
        <v>601</v>
      </c>
      <c r="Y209" s="58"/>
    </row>
    <row r="210" spans="1:25" ht="48" customHeight="1" x14ac:dyDescent="0.2">
      <c r="A210" s="42">
        <v>4</v>
      </c>
      <c r="B210" s="43" t="s">
        <v>555</v>
      </c>
      <c r="C210" s="58" t="s">
        <v>556</v>
      </c>
      <c r="D210" s="58"/>
      <c r="E210" s="58"/>
      <c r="F210" s="58"/>
      <c r="G210" s="58" t="s">
        <v>47</v>
      </c>
      <c r="H210" s="58"/>
      <c r="I210" s="58"/>
      <c r="J210" s="58"/>
      <c r="K210" s="58" t="s">
        <v>49</v>
      </c>
      <c r="L210" s="58"/>
      <c r="M210" s="58"/>
      <c r="N210" s="58"/>
      <c r="O210" s="59" t="s">
        <v>269</v>
      </c>
      <c r="P210" s="59"/>
      <c r="Q210" s="59"/>
      <c r="R210" s="59"/>
      <c r="S210" s="59"/>
      <c r="T210" s="59"/>
      <c r="U210" s="59"/>
      <c r="V210" s="59"/>
      <c r="W210" s="59"/>
      <c r="X210" s="58" t="s">
        <v>557</v>
      </c>
      <c r="Y210" s="58"/>
    </row>
    <row r="211" spans="1:25" ht="24" customHeight="1" x14ac:dyDescent="0.2"/>
    <row r="212" spans="1:25" ht="54" customHeight="1" x14ac:dyDescent="0.2">
      <c r="A212" s="37">
        <f>'Invetario de Tablas'!A27</f>
        <v>24</v>
      </c>
      <c r="B212" s="38" t="s">
        <v>177</v>
      </c>
      <c r="C212" s="52" t="str">
        <f>'Invetario de Tablas'!B27</f>
        <v>solicitud_mentoria</v>
      </c>
      <c r="D212" s="52"/>
      <c r="E212" s="52"/>
      <c r="F212" s="52"/>
      <c r="G212" s="53" t="s">
        <v>178</v>
      </c>
      <c r="H212" s="53"/>
      <c r="I212" s="53"/>
      <c r="J212" s="53"/>
      <c r="K212" s="54" t="str">
        <f>'Invetario de Tablas'!C27</f>
        <v>Solicitudes de acompañamiento y mentoría entre estudiantes y pares.</v>
      </c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39" t="s">
        <v>255</v>
      </c>
      <c r="Y212" s="32" t="s">
        <v>590</v>
      </c>
    </row>
    <row r="213" spans="1:25" ht="45" customHeight="1" x14ac:dyDescent="0.2">
      <c r="A213" s="40" t="s">
        <v>1</v>
      </c>
      <c r="B213" s="41" t="s">
        <v>257</v>
      </c>
      <c r="C213" s="55" t="s">
        <v>258</v>
      </c>
      <c r="D213" s="55"/>
      <c r="E213" s="55"/>
      <c r="F213" s="55"/>
      <c r="G213" s="56" t="s">
        <v>591</v>
      </c>
      <c r="H213" s="56"/>
      <c r="I213" s="56"/>
      <c r="J213" s="56"/>
      <c r="K213" s="55" t="s">
        <v>260</v>
      </c>
      <c r="L213" s="55"/>
      <c r="M213" s="55"/>
      <c r="N213" s="55"/>
      <c r="O213" s="55" t="s">
        <v>261</v>
      </c>
      <c r="P213" s="55"/>
      <c r="Q213" s="55"/>
      <c r="R213" s="55" t="s">
        <v>262</v>
      </c>
      <c r="S213" s="55"/>
      <c r="T213" s="55" t="s">
        <v>263</v>
      </c>
      <c r="U213" s="55"/>
      <c r="V213" s="55" t="s">
        <v>264</v>
      </c>
      <c r="W213" s="55"/>
      <c r="X213" s="57" t="s">
        <v>265</v>
      </c>
      <c r="Y213" s="57"/>
    </row>
    <row r="214" spans="1:25" ht="48" customHeight="1" x14ac:dyDescent="0.2">
      <c r="A214" s="42">
        <v>1</v>
      </c>
      <c r="B214" s="43" t="s">
        <v>558</v>
      </c>
      <c r="C214" s="58" t="s">
        <v>559</v>
      </c>
      <c r="D214" s="58"/>
      <c r="E214" s="58"/>
      <c r="F214" s="58"/>
      <c r="G214" s="58" t="s">
        <v>594</v>
      </c>
      <c r="H214" s="58"/>
      <c r="I214" s="58"/>
      <c r="J214" s="58"/>
      <c r="K214" s="58" t="s">
        <v>89</v>
      </c>
      <c r="L214" s="58"/>
      <c r="M214" s="58"/>
      <c r="N214" s="58"/>
      <c r="O214" s="59" t="s">
        <v>269</v>
      </c>
      <c r="P214" s="59"/>
      <c r="Q214" s="59"/>
      <c r="R214" s="59" t="s">
        <v>270</v>
      </c>
      <c r="S214" s="59"/>
      <c r="T214" s="59"/>
      <c r="U214" s="59"/>
      <c r="V214" s="59"/>
      <c r="W214" s="59"/>
      <c r="X214" s="49" t="s">
        <v>637</v>
      </c>
      <c r="Y214" s="49"/>
    </row>
    <row r="215" spans="1:25" ht="48" customHeight="1" x14ac:dyDescent="0.2">
      <c r="A215" s="42">
        <v>2</v>
      </c>
      <c r="B215" s="43" t="s">
        <v>560</v>
      </c>
      <c r="C215" s="58" t="s">
        <v>561</v>
      </c>
      <c r="D215" s="58"/>
      <c r="E215" s="58"/>
      <c r="F215" s="58"/>
      <c r="G215" s="58" t="s">
        <v>334</v>
      </c>
      <c r="H215" s="58"/>
      <c r="I215" s="58"/>
      <c r="J215" s="58"/>
      <c r="K215" s="58" t="s">
        <v>89</v>
      </c>
      <c r="L215" s="58"/>
      <c r="M215" s="58"/>
      <c r="N215" s="58"/>
      <c r="O215" s="59" t="s">
        <v>269</v>
      </c>
      <c r="P215" s="59"/>
      <c r="Q215" s="59"/>
      <c r="R215" s="59"/>
      <c r="S215" s="59"/>
      <c r="T215" s="59" t="s">
        <v>270</v>
      </c>
      <c r="U215" s="59"/>
      <c r="V215" s="59"/>
      <c r="W215" s="59"/>
      <c r="X215" s="58" t="s">
        <v>562</v>
      </c>
      <c r="Y215" s="58"/>
    </row>
    <row r="216" spans="1:25" ht="48" customHeight="1" x14ac:dyDescent="0.2">
      <c r="A216" s="42">
        <v>3</v>
      </c>
      <c r="B216" s="43" t="s">
        <v>563</v>
      </c>
      <c r="C216" s="58" t="s">
        <v>564</v>
      </c>
      <c r="D216" s="58"/>
      <c r="E216" s="58"/>
      <c r="F216" s="58"/>
      <c r="G216" s="58" t="s">
        <v>334</v>
      </c>
      <c r="H216" s="58"/>
      <c r="I216" s="58"/>
      <c r="J216" s="58"/>
      <c r="K216" s="58" t="s">
        <v>89</v>
      </c>
      <c r="L216" s="58"/>
      <c r="M216" s="58"/>
      <c r="N216" s="58"/>
      <c r="O216" s="59" t="s">
        <v>269</v>
      </c>
      <c r="P216" s="59"/>
      <c r="Q216" s="59"/>
      <c r="R216" s="59"/>
      <c r="S216" s="59"/>
      <c r="T216" s="59" t="s">
        <v>270</v>
      </c>
      <c r="U216" s="59"/>
      <c r="V216" s="59"/>
      <c r="W216" s="59"/>
      <c r="X216" s="58" t="s">
        <v>335</v>
      </c>
      <c r="Y216" s="58"/>
    </row>
    <row r="217" spans="1:25" ht="48" customHeight="1" x14ac:dyDescent="0.2">
      <c r="A217" s="42">
        <v>4</v>
      </c>
      <c r="B217" s="43" t="s">
        <v>565</v>
      </c>
      <c r="C217" s="58" t="s">
        <v>566</v>
      </c>
      <c r="D217" s="58"/>
      <c r="E217" s="58"/>
      <c r="F217" s="58"/>
      <c r="G217" s="58" t="s">
        <v>281</v>
      </c>
      <c r="H217" s="58"/>
      <c r="I217" s="58"/>
      <c r="J217" s="58"/>
      <c r="K217" s="58" t="s">
        <v>282</v>
      </c>
      <c r="L217" s="58"/>
      <c r="M217" s="58"/>
      <c r="N217" s="58"/>
      <c r="O217" s="59" t="s">
        <v>269</v>
      </c>
      <c r="P217" s="59"/>
      <c r="Q217" s="59"/>
      <c r="R217" s="59"/>
      <c r="S217" s="59"/>
      <c r="T217" s="59"/>
      <c r="U217" s="59"/>
      <c r="V217" s="59"/>
      <c r="W217" s="59"/>
      <c r="X217" s="58"/>
      <c r="Y217" s="58"/>
    </row>
    <row r="218" spans="1:25" ht="69" customHeight="1" x14ac:dyDescent="0.2">
      <c r="A218" s="42">
        <v>5</v>
      </c>
      <c r="B218" s="43" t="s">
        <v>567</v>
      </c>
      <c r="C218" s="58" t="s">
        <v>568</v>
      </c>
      <c r="D218" s="58"/>
      <c r="E218" s="58"/>
      <c r="F218" s="58"/>
      <c r="G218" s="58" t="s">
        <v>57</v>
      </c>
      <c r="H218" s="58"/>
      <c r="I218" s="58"/>
      <c r="J218" s="58"/>
      <c r="K218" s="58" t="s">
        <v>602</v>
      </c>
      <c r="L218" s="58"/>
      <c r="M218" s="58"/>
      <c r="N218" s="58"/>
      <c r="O218" s="59" t="s">
        <v>283</v>
      </c>
      <c r="P218" s="59"/>
      <c r="Q218" s="59"/>
      <c r="R218" s="59"/>
      <c r="S218" s="59"/>
      <c r="T218" s="59"/>
      <c r="U218" s="59"/>
      <c r="V218" s="59"/>
      <c r="W218" s="59"/>
      <c r="X218" s="58"/>
      <c r="Y218" s="58"/>
    </row>
    <row r="219" spans="1:25" ht="48" customHeight="1" x14ac:dyDescent="0.2">
      <c r="A219" s="42">
        <v>6</v>
      </c>
      <c r="B219" s="43" t="s">
        <v>569</v>
      </c>
      <c r="C219" s="58" t="s">
        <v>570</v>
      </c>
      <c r="D219" s="58"/>
      <c r="E219" s="58"/>
      <c r="F219" s="58"/>
      <c r="G219" s="58" t="s">
        <v>608</v>
      </c>
      <c r="H219" s="58"/>
      <c r="I219" s="58"/>
      <c r="J219" s="58"/>
      <c r="K219" s="58" t="s">
        <v>122</v>
      </c>
      <c r="L219" s="58"/>
      <c r="M219" s="58"/>
      <c r="N219" s="58"/>
      <c r="O219" s="59" t="s">
        <v>269</v>
      </c>
      <c r="P219" s="59"/>
      <c r="Q219" s="59"/>
      <c r="R219" s="59"/>
      <c r="S219" s="59"/>
      <c r="T219" s="59"/>
      <c r="U219" s="59"/>
      <c r="V219" s="59"/>
      <c r="W219" s="59"/>
      <c r="X219" s="58"/>
      <c r="Y219" s="58"/>
    </row>
    <row r="220" spans="1:25" ht="48" customHeight="1" x14ac:dyDescent="0.2">
      <c r="A220" s="42">
        <v>7</v>
      </c>
      <c r="B220" s="43" t="s">
        <v>573</v>
      </c>
      <c r="C220" s="58" t="s">
        <v>574</v>
      </c>
      <c r="D220" s="58"/>
      <c r="E220" s="58"/>
      <c r="F220" s="58"/>
      <c r="G220" s="58" t="s">
        <v>599</v>
      </c>
      <c r="H220" s="58"/>
      <c r="I220" s="58"/>
      <c r="J220" s="58"/>
      <c r="K220" s="58" t="s">
        <v>600</v>
      </c>
      <c r="L220" s="58"/>
      <c r="M220" s="58"/>
      <c r="N220" s="58"/>
      <c r="O220" s="59" t="s">
        <v>269</v>
      </c>
      <c r="P220" s="59"/>
      <c r="Q220" s="59"/>
      <c r="R220" s="59"/>
      <c r="S220" s="59"/>
      <c r="T220" s="59"/>
      <c r="U220" s="59"/>
      <c r="V220" s="59"/>
      <c r="W220" s="59"/>
      <c r="X220" s="58" t="s">
        <v>601</v>
      </c>
      <c r="Y220" s="58"/>
    </row>
    <row r="221" spans="1:25" ht="48" customHeight="1" x14ac:dyDescent="0.2">
      <c r="A221" s="42">
        <v>8</v>
      </c>
      <c r="B221" s="43" t="s">
        <v>575</v>
      </c>
      <c r="C221" s="58" t="s">
        <v>576</v>
      </c>
      <c r="D221" s="58"/>
      <c r="E221" s="58"/>
      <c r="F221" s="58"/>
      <c r="G221" s="58" t="s">
        <v>599</v>
      </c>
      <c r="H221" s="58"/>
      <c r="I221" s="58"/>
      <c r="J221" s="58"/>
      <c r="K221" s="58" t="s">
        <v>600</v>
      </c>
      <c r="L221" s="58"/>
      <c r="M221" s="58"/>
      <c r="N221" s="58"/>
      <c r="O221" s="59" t="s">
        <v>283</v>
      </c>
      <c r="P221" s="59"/>
      <c r="Q221" s="59"/>
      <c r="R221" s="59"/>
      <c r="S221" s="59"/>
      <c r="T221" s="59"/>
      <c r="U221" s="59"/>
      <c r="V221" s="59"/>
      <c r="W221" s="59"/>
      <c r="X221" s="58" t="s">
        <v>577</v>
      </c>
      <c r="Y221" s="58"/>
    </row>
    <row r="222" spans="1:25" ht="24" customHeight="1" x14ac:dyDescent="0.2"/>
    <row r="223" spans="1:25" ht="54" customHeight="1" x14ac:dyDescent="0.2">
      <c r="A223" s="37">
        <f>'Invetario de Tablas'!A28</f>
        <v>25</v>
      </c>
      <c r="B223" s="38" t="s">
        <v>177</v>
      </c>
      <c r="C223" s="52" t="str">
        <f>'Invetario de Tablas'!B28</f>
        <v>notificacion</v>
      </c>
      <c r="D223" s="52"/>
      <c r="E223" s="52"/>
      <c r="F223" s="52"/>
      <c r="G223" s="53" t="s">
        <v>178</v>
      </c>
      <c r="H223" s="53"/>
      <c r="I223" s="53"/>
      <c r="J223" s="53"/>
      <c r="K223" s="54" t="str">
        <f>'Invetario de Tablas'!C28</f>
        <v>Avisos e historial de alertas recibidas por los usuarios.</v>
      </c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39" t="s">
        <v>255</v>
      </c>
      <c r="Y223" s="32" t="s">
        <v>590</v>
      </c>
    </row>
    <row r="224" spans="1:25" ht="45" customHeight="1" x14ac:dyDescent="0.2">
      <c r="A224" s="40" t="s">
        <v>1</v>
      </c>
      <c r="B224" s="41" t="s">
        <v>257</v>
      </c>
      <c r="C224" s="55" t="s">
        <v>258</v>
      </c>
      <c r="D224" s="55"/>
      <c r="E224" s="55"/>
      <c r="F224" s="55"/>
      <c r="G224" s="56" t="s">
        <v>591</v>
      </c>
      <c r="H224" s="56"/>
      <c r="I224" s="56"/>
      <c r="J224" s="56"/>
      <c r="K224" s="55" t="s">
        <v>260</v>
      </c>
      <c r="L224" s="55"/>
      <c r="M224" s="55"/>
      <c r="N224" s="55"/>
      <c r="O224" s="55" t="s">
        <v>261</v>
      </c>
      <c r="P224" s="55"/>
      <c r="Q224" s="55"/>
      <c r="R224" s="55" t="s">
        <v>262</v>
      </c>
      <c r="S224" s="55"/>
      <c r="T224" s="55" t="s">
        <v>263</v>
      </c>
      <c r="U224" s="55"/>
      <c r="V224" s="55" t="s">
        <v>264</v>
      </c>
      <c r="W224" s="55"/>
      <c r="X224" s="57" t="s">
        <v>265</v>
      </c>
      <c r="Y224" s="57"/>
    </row>
    <row r="225" spans="1:25" ht="48" customHeight="1" x14ac:dyDescent="0.2">
      <c r="A225" s="42">
        <v>1</v>
      </c>
      <c r="B225" s="43" t="s">
        <v>297</v>
      </c>
      <c r="C225" s="58" t="s">
        <v>578</v>
      </c>
      <c r="D225" s="58"/>
      <c r="E225" s="58"/>
      <c r="F225" s="58"/>
      <c r="G225" s="58" t="s">
        <v>334</v>
      </c>
      <c r="H225" s="58"/>
      <c r="I225" s="58"/>
      <c r="J225" s="58"/>
      <c r="K225" s="58" t="s">
        <v>89</v>
      </c>
      <c r="L225" s="58"/>
      <c r="M225" s="58"/>
      <c r="N225" s="58"/>
      <c r="O225" s="59" t="s">
        <v>269</v>
      </c>
      <c r="P225" s="59"/>
      <c r="Q225" s="59"/>
      <c r="R225" s="59" t="s">
        <v>270</v>
      </c>
      <c r="S225" s="59"/>
      <c r="T225" s="59" t="s">
        <v>270</v>
      </c>
      <c r="U225" s="59"/>
      <c r="V225" s="59"/>
      <c r="W225" s="59"/>
      <c r="X225" s="58" t="s">
        <v>335</v>
      </c>
      <c r="Y225" s="58"/>
    </row>
    <row r="226" spans="1:25" ht="48" customHeight="1" x14ac:dyDescent="0.2">
      <c r="A226" s="42">
        <v>2</v>
      </c>
      <c r="B226" s="43" t="s">
        <v>579</v>
      </c>
      <c r="C226" s="58" t="s">
        <v>580</v>
      </c>
      <c r="D226" s="58"/>
      <c r="E226" s="58"/>
      <c r="F226" s="58"/>
      <c r="G226" s="58" t="s">
        <v>598</v>
      </c>
      <c r="H226" s="58"/>
      <c r="I226" s="58"/>
      <c r="J226" s="58"/>
      <c r="K226" s="58" t="s">
        <v>80</v>
      </c>
      <c r="L226" s="58"/>
      <c r="M226" s="58"/>
      <c r="N226" s="58"/>
      <c r="O226" s="59" t="s">
        <v>269</v>
      </c>
      <c r="P226" s="59"/>
      <c r="Q226" s="59"/>
      <c r="R226" s="59" t="s">
        <v>270</v>
      </c>
      <c r="S226" s="59"/>
      <c r="T226" s="59"/>
      <c r="U226" s="59"/>
      <c r="V226" s="59"/>
      <c r="W226" s="59"/>
      <c r="X226" s="58" t="s">
        <v>380</v>
      </c>
      <c r="Y226" s="58"/>
    </row>
    <row r="227" spans="1:25" ht="48" customHeight="1" x14ac:dyDescent="0.2">
      <c r="A227" s="42">
        <v>3</v>
      </c>
      <c r="B227" s="43" t="s">
        <v>581</v>
      </c>
      <c r="C227" s="58" t="s">
        <v>582</v>
      </c>
      <c r="D227" s="58"/>
      <c r="E227" s="58"/>
      <c r="F227" s="58"/>
      <c r="G227" s="58" t="s">
        <v>344</v>
      </c>
      <c r="H227" s="58"/>
      <c r="I227" s="58"/>
      <c r="J227" s="58"/>
      <c r="K227" s="58" t="s">
        <v>345</v>
      </c>
      <c r="L227" s="58"/>
      <c r="M227" s="58"/>
      <c r="N227" s="58"/>
      <c r="O227" s="59" t="s">
        <v>269</v>
      </c>
      <c r="P227" s="59"/>
      <c r="Q227" s="59"/>
      <c r="R227" s="59"/>
      <c r="S227" s="59"/>
      <c r="T227" s="59"/>
      <c r="U227" s="59"/>
      <c r="V227" s="59"/>
      <c r="W227" s="59"/>
      <c r="X227" s="58"/>
      <c r="Y227" s="58"/>
    </row>
    <row r="228" spans="1:25" ht="69" customHeight="1" x14ac:dyDescent="0.2">
      <c r="A228" s="42">
        <v>4</v>
      </c>
      <c r="B228" s="43" t="s">
        <v>583</v>
      </c>
      <c r="C228" s="58" t="s">
        <v>584</v>
      </c>
      <c r="D228" s="58"/>
      <c r="E228" s="58"/>
      <c r="F228" s="58"/>
      <c r="G228" s="58" t="s">
        <v>57</v>
      </c>
      <c r="H228" s="58"/>
      <c r="I228" s="58"/>
      <c r="J228" s="58"/>
      <c r="K228" s="58" t="s">
        <v>602</v>
      </c>
      <c r="L228" s="58"/>
      <c r="M228" s="58"/>
      <c r="N228" s="58"/>
      <c r="O228" s="59" t="s">
        <v>269</v>
      </c>
      <c r="P228" s="59"/>
      <c r="Q228" s="59"/>
      <c r="R228" s="59"/>
      <c r="S228" s="59"/>
      <c r="T228" s="59"/>
      <c r="U228" s="59"/>
      <c r="V228" s="59"/>
      <c r="W228" s="59"/>
      <c r="X228" s="58"/>
      <c r="Y228" s="58"/>
    </row>
    <row r="229" spans="1:25" ht="48" customHeight="1" x14ac:dyDescent="0.2">
      <c r="A229" s="42">
        <v>5</v>
      </c>
      <c r="B229" s="43" t="s">
        <v>585</v>
      </c>
      <c r="C229" s="58" t="s">
        <v>586</v>
      </c>
      <c r="D229" s="58"/>
      <c r="E229" s="58"/>
      <c r="F229" s="58"/>
      <c r="G229" s="58" t="s">
        <v>47</v>
      </c>
      <c r="H229" s="58"/>
      <c r="I229" s="58"/>
      <c r="J229" s="58"/>
      <c r="K229" s="58" t="s">
        <v>49</v>
      </c>
      <c r="L229" s="58"/>
      <c r="M229" s="58"/>
      <c r="N229" s="58"/>
      <c r="O229" s="59" t="s">
        <v>269</v>
      </c>
      <c r="P229" s="59"/>
      <c r="Q229" s="59"/>
      <c r="R229" s="59"/>
      <c r="S229" s="59"/>
      <c r="T229" s="59"/>
      <c r="U229" s="59"/>
      <c r="V229" s="59"/>
      <c r="W229" s="59"/>
      <c r="X229" s="58" t="s">
        <v>557</v>
      </c>
      <c r="Y229" s="58"/>
    </row>
    <row r="230" spans="1:25" ht="48" customHeight="1" x14ac:dyDescent="0.2">
      <c r="A230" s="42">
        <v>6</v>
      </c>
      <c r="B230" s="43" t="s">
        <v>587</v>
      </c>
      <c r="C230" s="58" t="s">
        <v>588</v>
      </c>
      <c r="D230" s="58"/>
      <c r="E230" s="58"/>
      <c r="F230" s="58"/>
      <c r="G230" s="58" t="s">
        <v>599</v>
      </c>
      <c r="H230" s="58"/>
      <c r="I230" s="58"/>
      <c r="J230" s="58"/>
      <c r="K230" s="58" t="s">
        <v>600</v>
      </c>
      <c r="L230" s="58"/>
      <c r="M230" s="58"/>
      <c r="N230" s="58"/>
      <c r="O230" s="59" t="s">
        <v>269</v>
      </c>
      <c r="P230" s="59"/>
      <c r="Q230" s="59"/>
      <c r="R230" s="59"/>
      <c r="S230" s="59"/>
      <c r="T230" s="59"/>
      <c r="U230" s="59"/>
      <c r="V230" s="59"/>
      <c r="W230" s="59"/>
      <c r="X230" s="58" t="s">
        <v>601</v>
      </c>
      <c r="Y230" s="58"/>
    </row>
    <row r="231" spans="1:25" ht="24" customHeight="1" x14ac:dyDescent="0.2"/>
    <row r="232" spans="1:25" ht="15.75" customHeight="1" x14ac:dyDescent="0.2"/>
    <row r="233" spans="1:25" ht="15.75" customHeight="1" x14ac:dyDescent="0.2"/>
    <row r="234" spans="1:25" ht="15.75" customHeight="1" x14ac:dyDescent="0.2"/>
    <row r="235" spans="1:25" ht="15.75" customHeight="1" x14ac:dyDescent="0.2"/>
    <row r="236" spans="1:25" ht="15.75" customHeight="1" x14ac:dyDescent="0.2"/>
    <row r="237" spans="1:25" ht="15.75" customHeight="1" x14ac:dyDescent="0.2"/>
    <row r="238" spans="1:25" ht="15.75" customHeight="1" x14ac:dyDescent="0.2"/>
    <row r="239" spans="1:25" ht="15.75" customHeight="1" x14ac:dyDescent="0.2"/>
    <row r="240" spans="1:25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</sheetData>
  <mergeCells count="1501">
    <mergeCell ref="C229:F229"/>
    <mergeCell ref="G229:J229"/>
    <mergeCell ref="K229:N229"/>
    <mergeCell ref="O229:Q229"/>
    <mergeCell ref="R229:S229"/>
    <mergeCell ref="T229:U229"/>
    <mergeCell ref="V229:W229"/>
    <mergeCell ref="X229:Y229"/>
    <mergeCell ref="C230:F230"/>
    <mergeCell ref="G230:J230"/>
    <mergeCell ref="K230:N230"/>
    <mergeCell ref="O230:Q230"/>
    <mergeCell ref="R230:S230"/>
    <mergeCell ref="T230:U230"/>
    <mergeCell ref="V230:W230"/>
    <mergeCell ref="X230:Y230"/>
    <mergeCell ref="C226:F226"/>
    <mergeCell ref="G226:J226"/>
    <mergeCell ref="K226:N226"/>
    <mergeCell ref="O226:Q226"/>
    <mergeCell ref="R226:S226"/>
    <mergeCell ref="T226:U226"/>
    <mergeCell ref="V226:W226"/>
    <mergeCell ref="X226:Y226"/>
    <mergeCell ref="C227:F227"/>
    <mergeCell ref="G227:J227"/>
    <mergeCell ref="K227:N227"/>
    <mergeCell ref="O227:Q227"/>
    <mergeCell ref="R227:S227"/>
    <mergeCell ref="T227:U227"/>
    <mergeCell ref="V227:W227"/>
    <mergeCell ref="X227:Y227"/>
    <mergeCell ref="C228:F228"/>
    <mergeCell ref="G228:J228"/>
    <mergeCell ref="K228:N228"/>
    <mergeCell ref="O228:Q228"/>
    <mergeCell ref="R228:S228"/>
    <mergeCell ref="T228:U228"/>
    <mergeCell ref="V228:W228"/>
    <mergeCell ref="X228:Y228"/>
    <mergeCell ref="C223:F223"/>
    <mergeCell ref="G223:J223"/>
    <mergeCell ref="K223:W223"/>
    <mergeCell ref="C224:F224"/>
    <mergeCell ref="G224:J224"/>
    <mergeCell ref="K224:N224"/>
    <mergeCell ref="O224:Q224"/>
    <mergeCell ref="R224:S224"/>
    <mergeCell ref="T224:U224"/>
    <mergeCell ref="V224:W224"/>
    <mergeCell ref="X224:Y224"/>
    <mergeCell ref="C225:F225"/>
    <mergeCell ref="G225:J225"/>
    <mergeCell ref="K225:N225"/>
    <mergeCell ref="O225:Q225"/>
    <mergeCell ref="R225:S225"/>
    <mergeCell ref="T225:U225"/>
    <mergeCell ref="V225:W225"/>
    <mergeCell ref="X225:Y225"/>
    <mergeCell ref="C219:F219"/>
    <mergeCell ref="G219:J219"/>
    <mergeCell ref="K219:N219"/>
    <mergeCell ref="O219:Q219"/>
    <mergeCell ref="R219:S219"/>
    <mergeCell ref="T219:U219"/>
    <mergeCell ref="V219:W219"/>
    <mergeCell ref="X219:Y219"/>
    <mergeCell ref="C220:F220"/>
    <mergeCell ref="G220:J220"/>
    <mergeCell ref="K220:N220"/>
    <mergeCell ref="O220:Q220"/>
    <mergeCell ref="R220:S220"/>
    <mergeCell ref="T220:U220"/>
    <mergeCell ref="V220:W220"/>
    <mergeCell ref="X220:Y220"/>
    <mergeCell ref="C221:F221"/>
    <mergeCell ref="G221:J221"/>
    <mergeCell ref="K221:N221"/>
    <mergeCell ref="O221:Q221"/>
    <mergeCell ref="R221:S221"/>
    <mergeCell ref="T221:U221"/>
    <mergeCell ref="V221:W221"/>
    <mergeCell ref="X221:Y221"/>
    <mergeCell ref="C216:F216"/>
    <mergeCell ref="G216:J216"/>
    <mergeCell ref="K216:N216"/>
    <mergeCell ref="O216:Q216"/>
    <mergeCell ref="R216:S216"/>
    <mergeCell ref="T216:U216"/>
    <mergeCell ref="V216:W216"/>
    <mergeCell ref="X216:Y216"/>
    <mergeCell ref="C217:F217"/>
    <mergeCell ref="G217:J217"/>
    <mergeCell ref="K217:N217"/>
    <mergeCell ref="O217:Q217"/>
    <mergeCell ref="R217:S217"/>
    <mergeCell ref="T217:U217"/>
    <mergeCell ref="V217:W217"/>
    <mergeCell ref="X217:Y217"/>
    <mergeCell ref="C218:F218"/>
    <mergeCell ref="G218:J218"/>
    <mergeCell ref="K218:N218"/>
    <mergeCell ref="O218:Q218"/>
    <mergeCell ref="R218:S218"/>
    <mergeCell ref="T218:U218"/>
    <mergeCell ref="V218:W218"/>
    <mergeCell ref="X218:Y218"/>
    <mergeCell ref="C213:F213"/>
    <mergeCell ref="G213:J213"/>
    <mergeCell ref="K213:N213"/>
    <mergeCell ref="O213:Q213"/>
    <mergeCell ref="R213:S213"/>
    <mergeCell ref="T213:U213"/>
    <mergeCell ref="V213:W213"/>
    <mergeCell ref="X213:Y213"/>
    <mergeCell ref="C214:F214"/>
    <mergeCell ref="G214:J214"/>
    <mergeCell ref="K214:N214"/>
    <mergeCell ref="O214:Q214"/>
    <mergeCell ref="R214:S214"/>
    <mergeCell ref="T214:U214"/>
    <mergeCell ref="V214:W214"/>
    <mergeCell ref="X214:Y214"/>
    <mergeCell ref="C215:F215"/>
    <mergeCell ref="G215:J215"/>
    <mergeCell ref="K215:N215"/>
    <mergeCell ref="O215:Q215"/>
    <mergeCell ref="R215:S215"/>
    <mergeCell ref="T215:U215"/>
    <mergeCell ref="V215:W215"/>
    <mergeCell ref="X215:Y215"/>
    <mergeCell ref="C209:F209"/>
    <mergeCell ref="G209:J209"/>
    <mergeCell ref="K209:N209"/>
    <mergeCell ref="O209:Q209"/>
    <mergeCell ref="R209:S209"/>
    <mergeCell ref="T209:U209"/>
    <mergeCell ref="V209:W209"/>
    <mergeCell ref="X209:Y209"/>
    <mergeCell ref="C210:F210"/>
    <mergeCell ref="G210:J210"/>
    <mergeCell ref="K210:N210"/>
    <mergeCell ref="O210:Q210"/>
    <mergeCell ref="R210:S210"/>
    <mergeCell ref="T210:U210"/>
    <mergeCell ref="V210:W210"/>
    <mergeCell ref="X210:Y210"/>
    <mergeCell ref="C212:F212"/>
    <mergeCell ref="G212:J212"/>
    <mergeCell ref="K212:W212"/>
    <mergeCell ref="C206:F206"/>
    <mergeCell ref="G206:J206"/>
    <mergeCell ref="K206:N206"/>
    <mergeCell ref="O206:Q206"/>
    <mergeCell ref="R206:S206"/>
    <mergeCell ref="T206:U206"/>
    <mergeCell ref="V206:W206"/>
    <mergeCell ref="X206:Y206"/>
    <mergeCell ref="C207:F207"/>
    <mergeCell ref="G207:J207"/>
    <mergeCell ref="K207:N207"/>
    <mergeCell ref="O207:Q207"/>
    <mergeCell ref="R207:S207"/>
    <mergeCell ref="T207:U207"/>
    <mergeCell ref="V207:W207"/>
    <mergeCell ref="X207:Y207"/>
    <mergeCell ref="C208:F208"/>
    <mergeCell ref="G208:J208"/>
    <mergeCell ref="K208:N208"/>
    <mergeCell ref="O208:Q208"/>
    <mergeCell ref="R208:S208"/>
    <mergeCell ref="T208:U208"/>
    <mergeCell ref="V208:W208"/>
    <mergeCell ref="X208:Y208"/>
    <mergeCell ref="C202:F202"/>
    <mergeCell ref="G202:J202"/>
    <mergeCell ref="K202:N202"/>
    <mergeCell ref="O202:Q202"/>
    <mergeCell ref="R202:S202"/>
    <mergeCell ref="T202:U202"/>
    <mergeCell ref="V202:W202"/>
    <mergeCell ref="X202:Y202"/>
    <mergeCell ref="C203:F203"/>
    <mergeCell ref="G203:J203"/>
    <mergeCell ref="K203:N203"/>
    <mergeCell ref="O203:Q203"/>
    <mergeCell ref="R203:S203"/>
    <mergeCell ref="T203:U203"/>
    <mergeCell ref="V203:W203"/>
    <mergeCell ref="X203:Y203"/>
    <mergeCell ref="C205:F205"/>
    <mergeCell ref="G205:J205"/>
    <mergeCell ref="K205:W205"/>
    <mergeCell ref="C199:F199"/>
    <mergeCell ref="G199:J199"/>
    <mergeCell ref="K199:N199"/>
    <mergeCell ref="O199:Q199"/>
    <mergeCell ref="R199:S199"/>
    <mergeCell ref="T199:U199"/>
    <mergeCell ref="V199:W199"/>
    <mergeCell ref="X199:Y199"/>
    <mergeCell ref="C200:F200"/>
    <mergeCell ref="G200:J200"/>
    <mergeCell ref="K200:N200"/>
    <mergeCell ref="O200:Q200"/>
    <mergeCell ref="R200:S200"/>
    <mergeCell ref="T200:U200"/>
    <mergeCell ref="V200:W200"/>
    <mergeCell ref="X200:Y200"/>
    <mergeCell ref="C201:F201"/>
    <mergeCell ref="G201:J201"/>
    <mergeCell ref="K201:N201"/>
    <mergeCell ref="O201:Q201"/>
    <mergeCell ref="R201:S201"/>
    <mergeCell ref="T201:U201"/>
    <mergeCell ref="V201:W201"/>
    <mergeCell ref="X201:Y201"/>
    <mergeCell ref="C196:F196"/>
    <mergeCell ref="G196:J196"/>
    <mergeCell ref="K196:N196"/>
    <mergeCell ref="O196:Q196"/>
    <mergeCell ref="R196:S196"/>
    <mergeCell ref="T196:U196"/>
    <mergeCell ref="V196:W196"/>
    <mergeCell ref="X196:Y196"/>
    <mergeCell ref="C197:F197"/>
    <mergeCell ref="G197:J197"/>
    <mergeCell ref="K197:N197"/>
    <mergeCell ref="O197:Q197"/>
    <mergeCell ref="R197:S197"/>
    <mergeCell ref="T197:U197"/>
    <mergeCell ref="V197:W197"/>
    <mergeCell ref="X197:Y197"/>
    <mergeCell ref="C198:F198"/>
    <mergeCell ref="G198:J198"/>
    <mergeCell ref="K198:N198"/>
    <mergeCell ref="O198:Q198"/>
    <mergeCell ref="R198:S198"/>
    <mergeCell ref="T198:U198"/>
    <mergeCell ref="V198:W198"/>
    <mergeCell ref="X198:Y198"/>
    <mergeCell ref="C193:F193"/>
    <mergeCell ref="G193:J193"/>
    <mergeCell ref="K193:W193"/>
    <mergeCell ref="C194:F194"/>
    <mergeCell ref="G194:J194"/>
    <mergeCell ref="K194:N194"/>
    <mergeCell ref="O194:Q194"/>
    <mergeCell ref="R194:S194"/>
    <mergeCell ref="T194:U194"/>
    <mergeCell ref="V194:W194"/>
    <mergeCell ref="X194:Y194"/>
    <mergeCell ref="C195:F195"/>
    <mergeCell ref="G195:J195"/>
    <mergeCell ref="K195:N195"/>
    <mergeCell ref="O195:Q195"/>
    <mergeCell ref="R195:S195"/>
    <mergeCell ref="T195:U195"/>
    <mergeCell ref="V195:W195"/>
    <mergeCell ref="X195:Y195"/>
    <mergeCell ref="C189:F189"/>
    <mergeCell ref="G189:J189"/>
    <mergeCell ref="K189:N189"/>
    <mergeCell ref="O189:Q189"/>
    <mergeCell ref="R189:S189"/>
    <mergeCell ref="T189:U189"/>
    <mergeCell ref="V189:W189"/>
    <mergeCell ref="X189:Y189"/>
    <mergeCell ref="C190:F190"/>
    <mergeCell ref="G190:J190"/>
    <mergeCell ref="K190:N190"/>
    <mergeCell ref="O190:Q190"/>
    <mergeCell ref="R190:S190"/>
    <mergeCell ref="T190:U190"/>
    <mergeCell ref="V190:W190"/>
    <mergeCell ref="X190:Y190"/>
    <mergeCell ref="C191:F191"/>
    <mergeCell ref="G191:J191"/>
    <mergeCell ref="K191:N191"/>
    <mergeCell ref="O191:Q191"/>
    <mergeCell ref="R191:S191"/>
    <mergeCell ref="T191:U191"/>
    <mergeCell ref="V191:W191"/>
    <mergeCell ref="X191:Y191"/>
    <mergeCell ref="C186:F186"/>
    <mergeCell ref="G186:J186"/>
    <mergeCell ref="K186:W186"/>
    <mergeCell ref="C187:F187"/>
    <mergeCell ref="G187:J187"/>
    <mergeCell ref="K187:N187"/>
    <mergeCell ref="O187:Q187"/>
    <mergeCell ref="R187:S187"/>
    <mergeCell ref="T187:U187"/>
    <mergeCell ref="V187:W187"/>
    <mergeCell ref="X187:Y187"/>
    <mergeCell ref="C188:F188"/>
    <mergeCell ref="G188:J188"/>
    <mergeCell ref="K188:N188"/>
    <mergeCell ref="O188:Q188"/>
    <mergeCell ref="R188:S188"/>
    <mergeCell ref="T188:U188"/>
    <mergeCell ref="V188:W188"/>
    <mergeCell ref="X188:Y188"/>
    <mergeCell ref="C182:F182"/>
    <mergeCell ref="G182:J182"/>
    <mergeCell ref="K182:N182"/>
    <mergeCell ref="O182:Q182"/>
    <mergeCell ref="R182:S182"/>
    <mergeCell ref="T182:U182"/>
    <mergeCell ref="V182:W182"/>
    <mergeCell ref="X182:Y182"/>
    <mergeCell ref="C183:F183"/>
    <mergeCell ref="G183:J183"/>
    <mergeCell ref="K183:N183"/>
    <mergeCell ref="O183:Q183"/>
    <mergeCell ref="R183:S183"/>
    <mergeCell ref="T183:U183"/>
    <mergeCell ref="V183:W183"/>
    <mergeCell ref="X183:Y183"/>
    <mergeCell ref="C184:F184"/>
    <mergeCell ref="G184:J184"/>
    <mergeCell ref="K184:N184"/>
    <mergeCell ref="O184:Q184"/>
    <mergeCell ref="R184:S184"/>
    <mergeCell ref="T184:U184"/>
    <mergeCell ref="V184:W184"/>
    <mergeCell ref="X184:Y184"/>
    <mergeCell ref="C179:F179"/>
    <mergeCell ref="G179:J179"/>
    <mergeCell ref="K179:N179"/>
    <mergeCell ref="O179:Q179"/>
    <mergeCell ref="R179:S179"/>
    <mergeCell ref="T179:U179"/>
    <mergeCell ref="V179:W179"/>
    <mergeCell ref="X179:Y179"/>
    <mergeCell ref="C180:F180"/>
    <mergeCell ref="G180:J180"/>
    <mergeCell ref="K180:N180"/>
    <mergeCell ref="O180:Q180"/>
    <mergeCell ref="R180:S180"/>
    <mergeCell ref="T180:U180"/>
    <mergeCell ref="V180:W180"/>
    <mergeCell ref="X180:Y180"/>
    <mergeCell ref="C181:F181"/>
    <mergeCell ref="G181:J181"/>
    <mergeCell ref="K181:N181"/>
    <mergeCell ref="O181:Q181"/>
    <mergeCell ref="R181:S181"/>
    <mergeCell ref="T181:U181"/>
    <mergeCell ref="V181:W181"/>
    <mergeCell ref="X181:Y181"/>
    <mergeCell ref="C175:F175"/>
    <mergeCell ref="G175:J175"/>
    <mergeCell ref="K175:N175"/>
    <mergeCell ref="O175:Q175"/>
    <mergeCell ref="R175:S175"/>
    <mergeCell ref="T175:U175"/>
    <mergeCell ref="V175:W175"/>
    <mergeCell ref="X175:Y175"/>
    <mergeCell ref="C177:F177"/>
    <mergeCell ref="G177:J177"/>
    <mergeCell ref="K177:W177"/>
    <mergeCell ref="C178:F178"/>
    <mergeCell ref="G178:J178"/>
    <mergeCell ref="K178:N178"/>
    <mergeCell ref="O178:Q178"/>
    <mergeCell ref="R178:S178"/>
    <mergeCell ref="T178:U178"/>
    <mergeCell ref="V178:W178"/>
    <mergeCell ref="X178:Y178"/>
    <mergeCell ref="C172:F172"/>
    <mergeCell ref="G172:J172"/>
    <mergeCell ref="K172:N172"/>
    <mergeCell ref="O172:Q172"/>
    <mergeCell ref="R172:S172"/>
    <mergeCell ref="T172:U172"/>
    <mergeCell ref="V172:W172"/>
    <mergeCell ref="X172:Y172"/>
    <mergeCell ref="C173:F173"/>
    <mergeCell ref="G173:J173"/>
    <mergeCell ref="K173:N173"/>
    <mergeCell ref="O173:Q173"/>
    <mergeCell ref="R173:S173"/>
    <mergeCell ref="T173:U173"/>
    <mergeCell ref="V173:W173"/>
    <mergeCell ref="X173:Y173"/>
    <mergeCell ref="C174:F174"/>
    <mergeCell ref="G174:J174"/>
    <mergeCell ref="K174:N174"/>
    <mergeCell ref="O174:Q174"/>
    <mergeCell ref="R174:S174"/>
    <mergeCell ref="T174:U174"/>
    <mergeCell ref="V174:W174"/>
    <mergeCell ref="X174:Y174"/>
    <mergeCell ref="C169:F169"/>
    <mergeCell ref="G169:J169"/>
    <mergeCell ref="K169:N169"/>
    <mergeCell ref="O169:Q169"/>
    <mergeCell ref="R169:S169"/>
    <mergeCell ref="T169:U169"/>
    <mergeCell ref="V169:W169"/>
    <mergeCell ref="X169:Y169"/>
    <mergeCell ref="C170:F170"/>
    <mergeCell ref="G170:J170"/>
    <mergeCell ref="K170:N170"/>
    <mergeCell ref="O170:Q170"/>
    <mergeCell ref="R170:S170"/>
    <mergeCell ref="T170:U170"/>
    <mergeCell ref="V170:W170"/>
    <mergeCell ref="X170:Y170"/>
    <mergeCell ref="C171:F171"/>
    <mergeCell ref="G171:J171"/>
    <mergeCell ref="K171:N171"/>
    <mergeCell ref="O171:Q171"/>
    <mergeCell ref="R171:S171"/>
    <mergeCell ref="T171:U171"/>
    <mergeCell ref="V171:W171"/>
    <mergeCell ref="X171:Y171"/>
    <mergeCell ref="C165:F165"/>
    <mergeCell ref="G165:J165"/>
    <mergeCell ref="K165:N165"/>
    <mergeCell ref="O165:Q165"/>
    <mergeCell ref="R165:S165"/>
    <mergeCell ref="T165:U165"/>
    <mergeCell ref="V165:W165"/>
    <mergeCell ref="X165:Y165"/>
    <mergeCell ref="C167:F167"/>
    <mergeCell ref="G167:J167"/>
    <mergeCell ref="K167:W167"/>
    <mergeCell ref="C168:F168"/>
    <mergeCell ref="G168:J168"/>
    <mergeCell ref="K168:N168"/>
    <mergeCell ref="O168:Q168"/>
    <mergeCell ref="R168:S168"/>
    <mergeCell ref="T168:U168"/>
    <mergeCell ref="V168:W168"/>
    <mergeCell ref="X168:Y168"/>
    <mergeCell ref="C162:F162"/>
    <mergeCell ref="G162:J162"/>
    <mergeCell ref="K162:N162"/>
    <mergeCell ref="O162:Q162"/>
    <mergeCell ref="R162:S162"/>
    <mergeCell ref="T162:U162"/>
    <mergeCell ref="V162:W162"/>
    <mergeCell ref="X162:Y162"/>
    <mergeCell ref="C163:F163"/>
    <mergeCell ref="G163:J163"/>
    <mergeCell ref="K163:N163"/>
    <mergeCell ref="O163:Q163"/>
    <mergeCell ref="R163:S163"/>
    <mergeCell ref="T163:U163"/>
    <mergeCell ref="V163:W163"/>
    <mergeCell ref="X163:Y163"/>
    <mergeCell ref="C164:F164"/>
    <mergeCell ref="G164:J164"/>
    <mergeCell ref="K164:N164"/>
    <mergeCell ref="O164:Q164"/>
    <mergeCell ref="R164:S164"/>
    <mergeCell ref="T164:U164"/>
    <mergeCell ref="V164:W164"/>
    <mergeCell ref="X164:Y164"/>
    <mergeCell ref="C159:F159"/>
    <mergeCell ref="G159:J159"/>
    <mergeCell ref="K159:W159"/>
    <mergeCell ref="C160:F160"/>
    <mergeCell ref="G160:J160"/>
    <mergeCell ref="K160:N160"/>
    <mergeCell ref="O160:Q160"/>
    <mergeCell ref="R160:S160"/>
    <mergeCell ref="T160:U160"/>
    <mergeCell ref="V160:W160"/>
    <mergeCell ref="X160:Y160"/>
    <mergeCell ref="C161:F161"/>
    <mergeCell ref="G161:J161"/>
    <mergeCell ref="K161:N161"/>
    <mergeCell ref="O161:Q161"/>
    <mergeCell ref="R161:S161"/>
    <mergeCell ref="T161:U161"/>
    <mergeCell ref="V161:W161"/>
    <mergeCell ref="X161:Y161"/>
    <mergeCell ref="C155:F155"/>
    <mergeCell ref="G155:J155"/>
    <mergeCell ref="K155:N155"/>
    <mergeCell ref="O155:Q155"/>
    <mergeCell ref="R155:S155"/>
    <mergeCell ref="T155:U155"/>
    <mergeCell ref="V155:W155"/>
    <mergeCell ref="X155:Y155"/>
    <mergeCell ref="C156:F156"/>
    <mergeCell ref="G156:J156"/>
    <mergeCell ref="K156:N156"/>
    <mergeCell ref="O156:Q156"/>
    <mergeCell ref="R156:S156"/>
    <mergeCell ref="T156:U156"/>
    <mergeCell ref="V156:W156"/>
    <mergeCell ref="X156:Y156"/>
    <mergeCell ref="C157:F157"/>
    <mergeCell ref="G157:J157"/>
    <mergeCell ref="K157:N157"/>
    <mergeCell ref="O157:Q157"/>
    <mergeCell ref="R157:S157"/>
    <mergeCell ref="T157:U157"/>
    <mergeCell ref="V157:W157"/>
    <mergeCell ref="X157:Y157"/>
    <mergeCell ref="C152:F152"/>
    <mergeCell ref="G152:J152"/>
    <mergeCell ref="K152:N152"/>
    <mergeCell ref="O152:Q152"/>
    <mergeCell ref="R152:S152"/>
    <mergeCell ref="T152:U152"/>
    <mergeCell ref="V152:W152"/>
    <mergeCell ref="X152:Y152"/>
    <mergeCell ref="C153:F153"/>
    <mergeCell ref="G153:J153"/>
    <mergeCell ref="K153:N153"/>
    <mergeCell ref="O153:Q153"/>
    <mergeCell ref="R153:S153"/>
    <mergeCell ref="T153:U153"/>
    <mergeCell ref="V153:W153"/>
    <mergeCell ref="X153:Y153"/>
    <mergeCell ref="C154:F154"/>
    <mergeCell ref="G154:J154"/>
    <mergeCell ref="K154:N154"/>
    <mergeCell ref="O154:Q154"/>
    <mergeCell ref="R154:S154"/>
    <mergeCell ref="T154:U154"/>
    <mergeCell ref="V154:W154"/>
    <mergeCell ref="X154:Y154"/>
    <mergeCell ref="C149:F149"/>
    <mergeCell ref="G149:J149"/>
    <mergeCell ref="K149:N149"/>
    <mergeCell ref="O149:Q149"/>
    <mergeCell ref="R149:S149"/>
    <mergeCell ref="T149:U149"/>
    <mergeCell ref="V149:W149"/>
    <mergeCell ref="X149:Y149"/>
    <mergeCell ref="C150:F150"/>
    <mergeCell ref="G150:J150"/>
    <mergeCell ref="K150:N150"/>
    <mergeCell ref="O150:Q150"/>
    <mergeCell ref="R150:S150"/>
    <mergeCell ref="T150:U150"/>
    <mergeCell ref="V150:W150"/>
    <mergeCell ref="X150:Y150"/>
    <mergeCell ref="C151:F151"/>
    <mergeCell ref="G151:J151"/>
    <mergeCell ref="K151:N151"/>
    <mergeCell ref="O151:Q151"/>
    <mergeCell ref="R151:S151"/>
    <mergeCell ref="T151:U151"/>
    <mergeCell ref="V151:W151"/>
    <mergeCell ref="X151:Y151"/>
    <mergeCell ref="C146:F146"/>
    <mergeCell ref="G146:J146"/>
    <mergeCell ref="K146:W146"/>
    <mergeCell ref="C147:F147"/>
    <mergeCell ref="G147:J147"/>
    <mergeCell ref="K147:N147"/>
    <mergeCell ref="O147:Q147"/>
    <mergeCell ref="R147:S147"/>
    <mergeCell ref="T147:U147"/>
    <mergeCell ref="V147:W147"/>
    <mergeCell ref="X147:Y147"/>
    <mergeCell ref="C148:F148"/>
    <mergeCell ref="G148:J148"/>
    <mergeCell ref="K148:N148"/>
    <mergeCell ref="O148:Q148"/>
    <mergeCell ref="R148:S148"/>
    <mergeCell ref="T148:U148"/>
    <mergeCell ref="V148:W148"/>
    <mergeCell ref="X148:Y148"/>
    <mergeCell ref="C142:F142"/>
    <mergeCell ref="G142:J142"/>
    <mergeCell ref="K142:N142"/>
    <mergeCell ref="O142:Q142"/>
    <mergeCell ref="R142:S142"/>
    <mergeCell ref="T142:U142"/>
    <mergeCell ref="V142:W142"/>
    <mergeCell ref="X142:Y142"/>
    <mergeCell ref="C143:F143"/>
    <mergeCell ref="G143:J143"/>
    <mergeCell ref="K143:N143"/>
    <mergeCell ref="O143:Q143"/>
    <mergeCell ref="R143:S143"/>
    <mergeCell ref="T143:U143"/>
    <mergeCell ref="V143:W143"/>
    <mergeCell ref="X143:Y143"/>
    <mergeCell ref="C144:F144"/>
    <mergeCell ref="G144:J144"/>
    <mergeCell ref="K144:N144"/>
    <mergeCell ref="O144:Q144"/>
    <mergeCell ref="R144:S144"/>
    <mergeCell ref="T144:U144"/>
    <mergeCell ref="V144:W144"/>
    <mergeCell ref="X144:Y144"/>
    <mergeCell ref="C139:F139"/>
    <mergeCell ref="G139:J139"/>
    <mergeCell ref="K139:W139"/>
    <mergeCell ref="C140:F140"/>
    <mergeCell ref="G140:J140"/>
    <mergeCell ref="K140:N140"/>
    <mergeCell ref="O140:Q140"/>
    <mergeCell ref="R140:S140"/>
    <mergeCell ref="T140:U140"/>
    <mergeCell ref="V140:W140"/>
    <mergeCell ref="X140:Y140"/>
    <mergeCell ref="C141:F141"/>
    <mergeCell ref="G141:J141"/>
    <mergeCell ref="K141:N141"/>
    <mergeCell ref="O141:Q141"/>
    <mergeCell ref="R141:S141"/>
    <mergeCell ref="T141:U141"/>
    <mergeCell ref="V141:W141"/>
    <mergeCell ref="X141:Y141"/>
    <mergeCell ref="C135:F135"/>
    <mergeCell ref="G135:J135"/>
    <mergeCell ref="K135:N135"/>
    <mergeCell ref="O135:Q135"/>
    <mergeCell ref="R135:S135"/>
    <mergeCell ref="T135:U135"/>
    <mergeCell ref="V135:W135"/>
    <mergeCell ref="X135:Y135"/>
    <mergeCell ref="C136:F136"/>
    <mergeCell ref="G136:J136"/>
    <mergeCell ref="K136:N136"/>
    <mergeCell ref="O136:Q136"/>
    <mergeCell ref="R136:S136"/>
    <mergeCell ref="T136:U136"/>
    <mergeCell ref="V136:W136"/>
    <mergeCell ref="X136:Y136"/>
    <mergeCell ref="C137:F137"/>
    <mergeCell ref="G137:J137"/>
    <mergeCell ref="K137:N137"/>
    <mergeCell ref="O137:Q137"/>
    <mergeCell ref="R137:S137"/>
    <mergeCell ref="T137:U137"/>
    <mergeCell ref="V137:W137"/>
    <mergeCell ref="X137:Y137"/>
    <mergeCell ref="C132:F132"/>
    <mergeCell ref="G132:J132"/>
    <mergeCell ref="K132:N132"/>
    <mergeCell ref="O132:Q132"/>
    <mergeCell ref="R132:S132"/>
    <mergeCell ref="T132:U132"/>
    <mergeCell ref="V132:W132"/>
    <mergeCell ref="X132:Y132"/>
    <mergeCell ref="C133:F133"/>
    <mergeCell ref="G133:J133"/>
    <mergeCell ref="K133:N133"/>
    <mergeCell ref="O133:Q133"/>
    <mergeCell ref="R133:S133"/>
    <mergeCell ref="T133:U133"/>
    <mergeCell ref="V133:W133"/>
    <mergeCell ref="X133:Y133"/>
    <mergeCell ref="C134:F134"/>
    <mergeCell ref="G134:J134"/>
    <mergeCell ref="K134:N134"/>
    <mergeCell ref="O134:Q134"/>
    <mergeCell ref="R134:S134"/>
    <mergeCell ref="T134:U134"/>
    <mergeCell ref="V134:W134"/>
    <mergeCell ref="X134:Y134"/>
    <mergeCell ref="C129:F129"/>
    <mergeCell ref="G129:J129"/>
    <mergeCell ref="K129:N129"/>
    <mergeCell ref="O129:Q129"/>
    <mergeCell ref="R129:S129"/>
    <mergeCell ref="T129:U129"/>
    <mergeCell ref="V129:W129"/>
    <mergeCell ref="X129:Y129"/>
    <mergeCell ref="C130:F130"/>
    <mergeCell ref="G130:J130"/>
    <mergeCell ref="K130:N130"/>
    <mergeCell ref="O130:Q130"/>
    <mergeCell ref="R130:S130"/>
    <mergeCell ref="T130:U130"/>
    <mergeCell ref="V130:W130"/>
    <mergeCell ref="X130:Y130"/>
    <mergeCell ref="C131:F131"/>
    <mergeCell ref="G131:J131"/>
    <mergeCell ref="K131:N131"/>
    <mergeCell ref="O131:Q131"/>
    <mergeCell ref="R131:S131"/>
    <mergeCell ref="T131:U131"/>
    <mergeCell ref="V131:W131"/>
    <mergeCell ref="X131:Y131"/>
    <mergeCell ref="C125:F125"/>
    <mergeCell ref="G125:J125"/>
    <mergeCell ref="K125:N125"/>
    <mergeCell ref="O125:Q125"/>
    <mergeCell ref="R125:S125"/>
    <mergeCell ref="T125:U125"/>
    <mergeCell ref="V125:W125"/>
    <mergeCell ref="X125:Y125"/>
    <mergeCell ref="C126:F126"/>
    <mergeCell ref="G126:J126"/>
    <mergeCell ref="K126:N126"/>
    <mergeCell ref="O126:Q126"/>
    <mergeCell ref="R126:S126"/>
    <mergeCell ref="T126:U126"/>
    <mergeCell ref="V126:W126"/>
    <mergeCell ref="X126:Y126"/>
    <mergeCell ref="C128:F128"/>
    <mergeCell ref="G128:J128"/>
    <mergeCell ref="K128:W128"/>
    <mergeCell ref="C122:F122"/>
    <mergeCell ref="G122:J122"/>
    <mergeCell ref="K122:N122"/>
    <mergeCell ref="O122:Q122"/>
    <mergeCell ref="R122:S122"/>
    <mergeCell ref="T122:U122"/>
    <mergeCell ref="V122:W122"/>
    <mergeCell ref="X122:Y122"/>
    <mergeCell ref="C123:F123"/>
    <mergeCell ref="G123:J123"/>
    <mergeCell ref="K123:N123"/>
    <mergeCell ref="O123:Q123"/>
    <mergeCell ref="R123:S123"/>
    <mergeCell ref="T123:U123"/>
    <mergeCell ref="V123:W123"/>
    <mergeCell ref="X123:Y123"/>
    <mergeCell ref="C124:F124"/>
    <mergeCell ref="G124:J124"/>
    <mergeCell ref="K124:N124"/>
    <mergeCell ref="O124:Q124"/>
    <mergeCell ref="R124:S124"/>
    <mergeCell ref="T124:U124"/>
    <mergeCell ref="V124:W124"/>
    <mergeCell ref="X124:Y124"/>
    <mergeCell ref="C118:F118"/>
    <mergeCell ref="G118:J118"/>
    <mergeCell ref="K118:N118"/>
    <mergeCell ref="O118:Q118"/>
    <mergeCell ref="R118:S118"/>
    <mergeCell ref="T118:U118"/>
    <mergeCell ref="V118:W118"/>
    <mergeCell ref="X118:Y118"/>
    <mergeCell ref="C119:F119"/>
    <mergeCell ref="G119:J119"/>
    <mergeCell ref="K119:N119"/>
    <mergeCell ref="O119:Q119"/>
    <mergeCell ref="R119:S119"/>
    <mergeCell ref="T119:U119"/>
    <mergeCell ref="V119:W119"/>
    <mergeCell ref="X119:Y119"/>
    <mergeCell ref="C121:F121"/>
    <mergeCell ref="G121:J121"/>
    <mergeCell ref="K121:W121"/>
    <mergeCell ref="C115:F115"/>
    <mergeCell ref="G115:J115"/>
    <mergeCell ref="K115:N115"/>
    <mergeCell ref="O115:Q115"/>
    <mergeCell ref="R115:S115"/>
    <mergeCell ref="T115:U115"/>
    <mergeCell ref="V115:W115"/>
    <mergeCell ref="X115:Y115"/>
    <mergeCell ref="C116:F116"/>
    <mergeCell ref="G116:J116"/>
    <mergeCell ref="K116:N116"/>
    <mergeCell ref="O116:Q116"/>
    <mergeCell ref="R116:S116"/>
    <mergeCell ref="T116:U116"/>
    <mergeCell ref="V116:W116"/>
    <mergeCell ref="X116:Y116"/>
    <mergeCell ref="C117:F117"/>
    <mergeCell ref="G117:J117"/>
    <mergeCell ref="K117:N117"/>
    <mergeCell ref="O117:Q117"/>
    <mergeCell ref="R117:S117"/>
    <mergeCell ref="T117:U117"/>
    <mergeCell ref="V117:W117"/>
    <mergeCell ref="X117:Y117"/>
    <mergeCell ref="C111:F111"/>
    <mergeCell ref="G111:J111"/>
    <mergeCell ref="K111:N111"/>
    <mergeCell ref="O111:Q111"/>
    <mergeCell ref="R111:S111"/>
    <mergeCell ref="T111:U111"/>
    <mergeCell ref="V111:W111"/>
    <mergeCell ref="X111:Y111"/>
    <mergeCell ref="C113:F113"/>
    <mergeCell ref="G113:J113"/>
    <mergeCell ref="K113:W113"/>
    <mergeCell ref="C114:F114"/>
    <mergeCell ref="G114:J114"/>
    <mergeCell ref="K114:N114"/>
    <mergeCell ref="O114:Q114"/>
    <mergeCell ref="R114:S114"/>
    <mergeCell ref="T114:U114"/>
    <mergeCell ref="V114:W114"/>
    <mergeCell ref="X114:Y114"/>
    <mergeCell ref="C108:F108"/>
    <mergeCell ref="G108:J108"/>
    <mergeCell ref="K108:N108"/>
    <mergeCell ref="O108:Q108"/>
    <mergeCell ref="R108:S108"/>
    <mergeCell ref="T108:U108"/>
    <mergeCell ref="V108:W108"/>
    <mergeCell ref="X108:Y108"/>
    <mergeCell ref="C109:F109"/>
    <mergeCell ref="G109:J109"/>
    <mergeCell ref="K109:N109"/>
    <mergeCell ref="O109:Q109"/>
    <mergeCell ref="R109:S109"/>
    <mergeCell ref="T109:U109"/>
    <mergeCell ref="V109:W109"/>
    <mergeCell ref="X109:Y109"/>
    <mergeCell ref="C110:F110"/>
    <mergeCell ref="G110:J110"/>
    <mergeCell ref="K110:N110"/>
    <mergeCell ref="O110:Q110"/>
    <mergeCell ref="R110:S110"/>
    <mergeCell ref="T110:U110"/>
    <mergeCell ref="V110:W110"/>
    <mergeCell ref="X110:Y110"/>
    <mergeCell ref="C105:F105"/>
    <mergeCell ref="G105:J105"/>
    <mergeCell ref="K105:N105"/>
    <mergeCell ref="O105:Q105"/>
    <mergeCell ref="R105:S105"/>
    <mergeCell ref="T105:U105"/>
    <mergeCell ref="V105:W105"/>
    <mergeCell ref="X105:Y105"/>
    <mergeCell ref="C106:F106"/>
    <mergeCell ref="G106:J106"/>
    <mergeCell ref="K106:N106"/>
    <mergeCell ref="O106:Q106"/>
    <mergeCell ref="R106:S106"/>
    <mergeCell ref="T106:U106"/>
    <mergeCell ref="V106:W106"/>
    <mergeCell ref="X106:Y106"/>
    <mergeCell ref="C107:F107"/>
    <mergeCell ref="G107:J107"/>
    <mergeCell ref="K107:N107"/>
    <mergeCell ref="O107:Q107"/>
    <mergeCell ref="R107:S107"/>
    <mergeCell ref="T107:U107"/>
    <mergeCell ref="V107:W107"/>
    <mergeCell ref="X107:Y107"/>
    <mergeCell ref="C102:F102"/>
    <mergeCell ref="G102:J102"/>
    <mergeCell ref="K102:W102"/>
    <mergeCell ref="C103:F103"/>
    <mergeCell ref="G103:J103"/>
    <mergeCell ref="K103:N103"/>
    <mergeCell ref="O103:Q103"/>
    <mergeCell ref="R103:S103"/>
    <mergeCell ref="T103:U103"/>
    <mergeCell ref="V103:W103"/>
    <mergeCell ref="X103:Y103"/>
    <mergeCell ref="C104:F104"/>
    <mergeCell ref="G104:J104"/>
    <mergeCell ref="K104:N104"/>
    <mergeCell ref="O104:Q104"/>
    <mergeCell ref="R104:S104"/>
    <mergeCell ref="T104:U104"/>
    <mergeCell ref="V104:W104"/>
    <mergeCell ref="X104:Y104"/>
    <mergeCell ref="C98:F98"/>
    <mergeCell ref="G98:J98"/>
    <mergeCell ref="K98:N98"/>
    <mergeCell ref="O98:Q98"/>
    <mergeCell ref="R98:S98"/>
    <mergeCell ref="T98:U98"/>
    <mergeCell ref="V98:W98"/>
    <mergeCell ref="X98:Y98"/>
    <mergeCell ref="C99:F99"/>
    <mergeCell ref="G99:J99"/>
    <mergeCell ref="K99:N99"/>
    <mergeCell ref="O99:Q99"/>
    <mergeCell ref="R99:S99"/>
    <mergeCell ref="T99:U99"/>
    <mergeCell ref="V99:W99"/>
    <mergeCell ref="X99:Y99"/>
    <mergeCell ref="C100:F100"/>
    <mergeCell ref="G100:J100"/>
    <mergeCell ref="K100:N100"/>
    <mergeCell ref="O100:Q100"/>
    <mergeCell ref="R100:S100"/>
    <mergeCell ref="T100:U100"/>
    <mergeCell ref="V100:W100"/>
    <mergeCell ref="X100:Y100"/>
    <mergeCell ref="C95:F95"/>
    <mergeCell ref="G95:J95"/>
    <mergeCell ref="K95:W95"/>
    <mergeCell ref="C96:F96"/>
    <mergeCell ref="G96:J96"/>
    <mergeCell ref="K96:N96"/>
    <mergeCell ref="O96:Q96"/>
    <mergeCell ref="R96:S96"/>
    <mergeCell ref="T96:U96"/>
    <mergeCell ref="V96:W96"/>
    <mergeCell ref="X96:Y96"/>
    <mergeCell ref="C97:F97"/>
    <mergeCell ref="G97:J97"/>
    <mergeCell ref="K97:N97"/>
    <mergeCell ref="O97:Q97"/>
    <mergeCell ref="R97:S97"/>
    <mergeCell ref="T97:U97"/>
    <mergeCell ref="V97:W97"/>
    <mergeCell ref="X97:Y97"/>
    <mergeCell ref="C91:F91"/>
    <mergeCell ref="G91:J91"/>
    <mergeCell ref="K91:N91"/>
    <mergeCell ref="O91:Q91"/>
    <mergeCell ref="R91:S91"/>
    <mergeCell ref="T91:U91"/>
    <mergeCell ref="V91:W91"/>
    <mergeCell ref="X91:Y91"/>
    <mergeCell ref="C92:F92"/>
    <mergeCell ref="G92:J92"/>
    <mergeCell ref="K92:N92"/>
    <mergeCell ref="O92:Q92"/>
    <mergeCell ref="R92:S92"/>
    <mergeCell ref="T92:U92"/>
    <mergeCell ref="V92:W92"/>
    <mergeCell ref="X92:Y92"/>
    <mergeCell ref="C93:F93"/>
    <mergeCell ref="G93:J93"/>
    <mergeCell ref="K93:N93"/>
    <mergeCell ref="O93:Q93"/>
    <mergeCell ref="R93:S93"/>
    <mergeCell ref="T93:U93"/>
    <mergeCell ref="V93:W93"/>
    <mergeCell ref="X93:Y93"/>
    <mergeCell ref="C88:F88"/>
    <mergeCell ref="G88:J88"/>
    <mergeCell ref="K88:N88"/>
    <mergeCell ref="O88:Q88"/>
    <mergeCell ref="R88:S88"/>
    <mergeCell ref="T88:U88"/>
    <mergeCell ref="V88:W88"/>
    <mergeCell ref="X88:Y88"/>
    <mergeCell ref="C89:F89"/>
    <mergeCell ref="G89:J89"/>
    <mergeCell ref="K89:N89"/>
    <mergeCell ref="O89:Q89"/>
    <mergeCell ref="R89:S89"/>
    <mergeCell ref="T89:U89"/>
    <mergeCell ref="V89:W89"/>
    <mergeCell ref="X89:Y89"/>
    <mergeCell ref="C90:F90"/>
    <mergeCell ref="G90:J90"/>
    <mergeCell ref="K90:N90"/>
    <mergeCell ref="O90:Q90"/>
    <mergeCell ref="R90:S90"/>
    <mergeCell ref="T90:U90"/>
    <mergeCell ref="V90:W90"/>
    <mergeCell ref="X90:Y90"/>
    <mergeCell ref="C84:F84"/>
    <mergeCell ref="G84:J84"/>
    <mergeCell ref="K84:N84"/>
    <mergeCell ref="O84:Q84"/>
    <mergeCell ref="R84:S84"/>
    <mergeCell ref="T84:U84"/>
    <mergeCell ref="V84:W84"/>
    <mergeCell ref="X84:Y84"/>
    <mergeCell ref="C86:F86"/>
    <mergeCell ref="G86:J86"/>
    <mergeCell ref="K86:W86"/>
    <mergeCell ref="C87:F87"/>
    <mergeCell ref="G87:J87"/>
    <mergeCell ref="K87:N87"/>
    <mergeCell ref="O87:Q87"/>
    <mergeCell ref="R87:S87"/>
    <mergeCell ref="T87:U87"/>
    <mergeCell ref="V87:W87"/>
    <mergeCell ref="X87:Y87"/>
    <mergeCell ref="C81:F81"/>
    <mergeCell ref="G81:J81"/>
    <mergeCell ref="K81:N81"/>
    <mergeCell ref="O81:Q81"/>
    <mergeCell ref="R81:S81"/>
    <mergeCell ref="T81:U81"/>
    <mergeCell ref="V81:W81"/>
    <mergeCell ref="X81:Y81"/>
    <mergeCell ref="C82:F82"/>
    <mergeCell ref="G82:J82"/>
    <mergeCell ref="K82:N82"/>
    <mergeCell ref="O82:Q82"/>
    <mergeCell ref="R82:S82"/>
    <mergeCell ref="T82:U82"/>
    <mergeCell ref="V82:W82"/>
    <mergeCell ref="X82:Y82"/>
    <mergeCell ref="C83:F83"/>
    <mergeCell ref="G83:J83"/>
    <mergeCell ref="K83:N83"/>
    <mergeCell ref="O83:Q83"/>
    <mergeCell ref="R83:S83"/>
    <mergeCell ref="T83:U83"/>
    <mergeCell ref="V83:W83"/>
    <mergeCell ref="X83:Y83"/>
    <mergeCell ref="C77:F77"/>
    <mergeCell ref="G77:J77"/>
    <mergeCell ref="K77:N77"/>
    <mergeCell ref="O77:Q77"/>
    <mergeCell ref="R77:S77"/>
    <mergeCell ref="T77:U77"/>
    <mergeCell ref="V77:W77"/>
    <mergeCell ref="X77:Y77"/>
    <mergeCell ref="C79:F79"/>
    <mergeCell ref="G79:J79"/>
    <mergeCell ref="K79:W79"/>
    <mergeCell ref="C80:F80"/>
    <mergeCell ref="G80:J80"/>
    <mergeCell ref="K80:N80"/>
    <mergeCell ref="O80:Q80"/>
    <mergeCell ref="R80:S80"/>
    <mergeCell ref="T80:U80"/>
    <mergeCell ref="V80:W80"/>
    <mergeCell ref="X80:Y80"/>
    <mergeCell ref="C74:F74"/>
    <mergeCell ref="G74:J74"/>
    <mergeCell ref="K74:N74"/>
    <mergeCell ref="O74:Q74"/>
    <mergeCell ref="R74:S74"/>
    <mergeCell ref="T74:U74"/>
    <mergeCell ref="V74:W74"/>
    <mergeCell ref="X74:Y74"/>
    <mergeCell ref="C75:F75"/>
    <mergeCell ref="G75:J75"/>
    <mergeCell ref="K75:N75"/>
    <mergeCell ref="O75:Q75"/>
    <mergeCell ref="R75:S75"/>
    <mergeCell ref="T75:U75"/>
    <mergeCell ref="V75:W75"/>
    <mergeCell ref="X75:Y75"/>
    <mergeCell ref="C76:F76"/>
    <mergeCell ref="G76:J76"/>
    <mergeCell ref="K76:N76"/>
    <mergeCell ref="O76:Q76"/>
    <mergeCell ref="R76:S76"/>
    <mergeCell ref="T76:U76"/>
    <mergeCell ref="V76:W76"/>
    <mergeCell ref="X76:Y76"/>
    <mergeCell ref="C71:F71"/>
    <mergeCell ref="G71:J71"/>
    <mergeCell ref="K71:W71"/>
    <mergeCell ref="C72:F72"/>
    <mergeCell ref="G72:J72"/>
    <mergeCell ref="K72:N72"/>
    <mergeCell ref="O72:Q72"/>
    <mergeCell ref="R72:S72"/>
    <mergeCell ref="T72:U72"/>
    <mergeCell ref="V72:W72"/>
    <mergeCell ref="X72:Y72"/>
    <mergeCell ref="C73:F73"/>
    <mergeCell ref="G73:J73"/>
    <mergeCell ref="K73:N73"/>
    <mergeCell ref="O73:Q73"/>
    <mergeCell ref="R73:S73"/>
    <mergeCell ref="T73:U73"/>
    <mergeCell ref="V73:W73"/>
    <mergeCell ref="X73:Y73"/>
    <mergeCell ref="C67:F67"/>
    <mergeCell ref="G67:J67"/>
    <mergeCell ref="K67:N67"/>
    <mergeCell ref="O67:Q67"/>
    <mergeCell ref="R67:S67"/>
    <mergeCell ref="T67:U67"/>
    <mergeCell ref="V67:W67"/>
    <mergeCell ref="X67:Y67"/>
    <mergeCell ref="C68:F68"/>
    <mergeCell ref="G68:J68"/>
    <mergeCell ref="K68:N68"/>
    <mergeCell ref="O68:Q68"/>
    <mergeCell ref="R68:S68"/>
    <mergeCell ref="T68:U68"/>
    <mergeCell ref="V68:W68"/>
    <mergeCell ref="X68:Y68"/>
    <mergeCell ref="C69:F69"/>
    <mergeCell ref="G69:J69"/>
    <mergeCell ref="K69:N69"/>
    <mergeCell ref="O69:Q69"/>
    <mergeCell ref="R69:S69"/>
    <mergeCell ref="T69:U69"/>
    <mergeCell ref="V69:W69"/>
    <mergeCell ref="X69:Y69"/>
    <mergeCell ref="C64:F64"/>
    <mergeCell ref="G64:J64"/>
    <mergeCell ref="K64:N64"/>
    <mergeCell ref="O64:Q64"/>
    <mergeCell ref="R64:S64"/>
    <mergeCell ref="T64:U64"/>
    <mergeCell ref="V64:W64"/>
    <mergeCell ref="X64:Y64"/>
    <mergeCell ref="C65:F65"/>
    <mergeCell ref="G65:J65"/>
    <mergeCell ref="K65:N65"/>
    <mergeCell ref="O65:Q65"/>
    <mergeCell ref="R65:S65"/>
    <mergeCell ref="T65:U65"/>
    <mergeCell ref="V65:W65"/>
    <mergeCell ref="X65:Y65"/>
    <mergeCell ref="C66:F66"/>
    <mergeCell ref="G66:J66"/>
    <mergeCell ref="K66:N66"/>
    <mergeCell ref="O66:Q66"/>
    <mergeCell ref="R66:S66"/>
    <mergeCell ref="T66:U66"/>
    <mergeCell ref="V66:W66"/>
    <mergeCell ref="X66:Y66"/>
    <mergeCell ref="C60:F60"/>
    <mergeCell ref="G60:J60"/>
    <mergeCell ref="K60:N60"/>
    <mergeCell ref="O60:Q60"/>
    <mergeCell ref="R60:S60"/>
    <mergeCell ref="T60:U60"/>
    <mergeCell ref="V60:W60"/>
    <mergeCell ref="X60:Y60"/>
    <mergeCell ref="C61:F61"/>
    <mergeCell ref="G61:J61"/>
    <mergeCell ref="K61:N61"/>
    <mergeCell ref="O61:Q61"/>
    <mergeCell ref="R61:S61"/>
    <mergeCell ref="T61:U61"/>
    <mergeCell ref="V61:W61"/>
    <mergeCell ref="X61:Y61"/>
    <mergeCell ref="C63:F63"/>
    <mergeCell ref="G63:J63"/>
    <mergeCell ref="K63:W63"/>
    <mergeCell ref="C57:F57"/>
    <mergeCell ref="G57:J57"/>
    <mergeCell ref="K57:N57"/>
    <mergeCell ref="O57:Q57"/>
    <mergeCell ref="R57:S57"/>
    <mergeCell ref="T57:U57"/>
    <mergeCell ref="V57:W57"/>
    <mergeCell ref="X57:Y57"/>
    <mergeCell ref="C58:F58"/>
    <mergeCell ref="G58:J58"/>
    <mergeCell ref="K58:N58"/>
    <mergeCell ref="O58:Q58"/>
    <mergeCell ref="R58:S58"/>
    <mergeCell ref="T58:U58"/>
    <mergeCell ref="V58:W58"/>
    <mergeCell ref="X58:Y58"/>
    <mergeCell ref="C59:F59"/>
    <mergeCell ref="G59:J59"/>
    <mergeCell ref="K59:N59"/>
    <mergeCell ref="O59:Q59"/>
    <mergeCell ref="R59:S59"/>
    <mergeCell ref="T59:U59"/>
    <mergeCell ref="V59:W59"/>
    <mergeCell ref="X59:Y59"/>
    <mergeCell ref="C54:F54"/>
    <mergeCell ref="G54:J54"/>
    <mergeCell ref="K54:N54"/>
    <mergeCell ref="O54:Q54"/>
    <mergeCell ref="R54:S54"/>
    <mergeCell ref="T54:U54"/>
    <mergeCell ref="V54:W54"/>
    <mergeCell ref="X54:Y54"/>
    <mergeCell ref="C55:F55"/>
    <mergeCell ref="G55:J55"/>
    <mergeCell ref="K55:N55"/>
    <mergeCell ref="O55:Q55"/>
    <mergeCell ref="R55:S55"/>
    <mergeCell ref="T55:U55"/>
    <mergeCell ref="V55:W55"/>
    <mergeCell ref="X55:Y55"/>
    <mergeCell ref="C56:F56"/>
    <mergeCell ref="G56:J56"/>
    <mergeCell ref="K56:N56"/>
    <mergeCell ref="O56:Q56"/>
    <mergeCell ref="R56:S56"/>
    <mergeCell ref="T56:U56"/>
    <mergeCell ref="V56:W56"/>
    <mergeCell ref="X56:Y56"/>
    <mergeCell ref="C50:F50"/>
    <mergeCell ref="G50:J50"/>
    <mergeCell ref="K50:N50"/>
    <mergeCell ref="O50:Q50"/>
    <mergeCell ref="R50:S50"/>
    <mergeCell ref="T50:U50"/>
    <mergeCell ref="V50:W50"/>
    <mergeCell ref="X50:Y50"/>
    <mergeCell ref="C52:F52"/>
    <mergeCell ref="G52:J52"/>
    <mergeCell ref="K52:W52"/>
    <mergeCell ref="C53:F53"/>
    <mergeCell ref="G53:J53"/>
    <mergeCell ref="K53:N53"/>
    <mergeCell ref="O53:Q53"/>
    <mergeCell ref="R53:S53"/>
    <mergeCell ref="T53:U53"/>
    <mergeCell ref="V53:W53"/>
    <mergeCell ref="X53:Y53"/>
    <mergeCell ref="C47:F47"/>
    <mergeCell ref="G47:J47"/>
    <mergeCell ref="K47:N47"/>
    <mergeCell ref="O47:Q47"/>
    <mergeCell ref="R47:S47"/>
    <mergeCell ref="T47:U47"/>
    <mergeCell ref="V47:W47"/>
    <mergeCell ref="X47:Y47"/>
    <mergeCell ref="C48:F48"/>
    <mergeCell ref="G48:J48"/>
    <mergeCell ref="K48:N48"/>
    <mergeCell ref="O48:Q48"/>
    <mergeCell ref="R48:S48"/>
    <mergeCell ref="T48:U48"/>
    <mergeCell ref="V48:W48"/>
    <mergeCell ref="X48:Y48"/>
    <mergeCell ref="C49:F49"/>
    <mergeCell ref="G49:J49"/>
    <mergeCell ref="K49:N49"/>
    <mergeCell ref="O49:Q49"/>
    <mergeCell ref="R49:S49"/>
    <mergeCell ref="T49:U49"/>
    <mergeCell ref="V49:W49"/>
    <mergeCell ref="X49:Y49"/>
    <mergeCell ref="C43:F43"/>
    <mergeCell ref="G43:J43"/>
    <mergeCell ref="K43:N43"/>
    <mergeCell ref="O43:Q43"/>
    <mergeCell ref="R43:S43"/>
    <mergeCell ref="T43:U43"/>
    <mergeCell ref="V43:W43"/>
    <mergeCell ref="X43:Y43"/>
    <mergeCell ref="C45:F45"/>
    <mergeCell ref="G45:J45"/>
    <mergeCell ref="K45:W45"/>
    <mergeCell ref="C46:F46"/>
    <mergeCell ref="G46:J46"/>
    <mergeCell ref="K46:N46"/>
    <mergeCell ref="O46:Q46"/>
    <mergeCell ref="R46:S46"/>
    <mergeCell ref="T46:U46"/>
    <mergeCell ref="V46:W46"/>
    <mergeCell ref="X46:Y46"/>
    <mergeCell ref="C40:F40"/>
    <mergeCell ref="G40:J40"/>
    <mergeCell ref="K40:N40"/>
    <mergeCell ref="O40:Q40"/>
    <mergeCell ref="R40:S40"/>
    <mergeCell ref="T40:U40"/>
    <mergeCell ref="V40:W40"/>
    <mergeCell ref="X40:Y40"/>
    <mergeCell ref="C41:F41"/>
    <mergeCell ref="G41:J41"/>
    <mergeCell ref="K41:N41"/>
    <mergeCell ref="O41:Q41"/>
    <mergeCell ref="R41:S41"/>
    <mergeCell ref="T41:U41"/>
    <mergeCell ref="V41:W41"/>
    <mergeCell ref="X41:Y41"/>
    <mergeCell ref="C42:F42"/>
    <mergeCell ref="G42:J42"/>
    <mergeCell ref="K42:N42"/>
    <mergeCell ref="O42:Q42"/>
    <mergeCell ref="R42:S42"/>
    <mergeCell ref="T42:U42"/>
    <mergeCell ref="V42:W42"/>
    <mergeCell ref="X42:Y42"/>
    <mergeCell ref="C37:F37"/>
    <mergeCell ref="G37:J37"/>
    <mergeCell ref="K37:N37"/>
    <mergeCell ref="O37:Q37"/>
    <mergeCell ref="R37:S37"/>
    <mergeCell ref="T37:U37"/>
    <mergeCell ref="V37:W37"/>
    <mergeCell ref="X37:Y37"/>
    <mergeCell ref="C38:F38"/>
    <mergeCell ref="G38:J38"/>
    <mergeCell ref="K38:N38"/>
    <mergeCell ref="O38:Q38"/>
    <mergeCell ref="R38:S38"/>
    <mergeCell ref="T38:U38"/>
    <mergeCell ref="V38:W38"/>
    <mergeCell ref="X38:Y38"/>
    <mergeCell ref="C39:F39"/>
    <mergeCell ref="G39:J39"/>
    <mergeCell ref="K39:N39"/>
    <mergeCell ref="O39:Q39"/>
    <mergeCell ref="R39:S39"/>
    <mergeCell ref="T39:U39"/>
    <mergeCell ref="V39:W39"/>
    <mergeCell ref="X39:Y39"/>
    <mergeCell ref="C33:F33"/>
    <mergeCell ref="G33:J33"/>
    <mergeCell ref="K33:N33"/>
    <mergeCell ref="O33:Q33"/>
    <mergeCell ref="R33:S33"/>
    <mergeCell ref="T33:U33"/>
    <mergeCell ref="V33:W33"/>
    <mergeCell ref="X33:Y33"/>
    <mergeCell ref="C35:F35"/>
    <mergeCell ref="G35:J35"/>
    <mergeCell ref="K35:W35"/>
    <mergeCell ref="C36:F36"/>
    <mergeCell ref="G36:J36"/>
    <mergeCell ref="K36:N36"/>
    <mergeCell ref="O36:Q36"/>
    <mergeCell ref="R36:S36"/>
    <mergeCell ref="T36:U36"/>
    <mergeCell ref="V36:W36"/>
    <mergeCell ref="X36:Y36"/>
    <mergeCell ref="C30:F30"/>
    <mergeCell ref="G30:J30"/>
    <mergeCell ref="K30:N30"/>
    <mergeCell ref="O30:Q30"/>
    <mergeCell ref="R30:S30"/>
    <mergeCell ref="T30:U30"/>
    <mergeCell ref="V30:W30"/>
    <mergeCell ref="X30:Y30"/>
    <mergeCell ref="C31:F31"/>
    <mergeCell ref="G31:J31"/>
    <mergeCell ref="K31:N31"/>
    <mergeCell ref="O31:Q31"/>
    <mergeCell ref="R31:S31"/>
    <mergeCell ref="T31:U31"/>
    <mergeCell ref="V31:W31"/>
    <mergeCell ref="X31:Y31"/>
    <mergeCell ref="C32:F32"/>
    <mergeCell ref="G32:J32"/>
    <mergeCell ref="K32:N32"/>
    <mergeCell ref="O32:Q32"/>
    <mergeCell ref="R32:S32"/>
    <mergeCell ref="T32:U32"/>
    <mergeCell ref="V32:W32"/>
    <mergeCell ref="X32:Y32"/>
    <mergeCell ref="C27:F27"/>
    <mergeCell ref="G27:J27"/>
    <mergeCell ref="K27:N27"/>
    <mergeCell ref="O27:Q27"/>
    <mergeCell ref="R27:S27"/>
    <mergeCell ref="T27:U27"/>
    <mergeCell ref="V27:W27"/>
    <mergeCell ref="X27:Y27"/>
    <mergeCell ref="C28:F28"/>
    <mergeCell ref="G28:J28"/>
    <mergeCell ref="K28:N28"/>
    <mergeCell ref="O28:Q28"/>
    <mergeCell ref="R28:S28"/>
    <mergeCell ref="T28:U28"/>
    <mergeCell ref="V28:W28"/>
    <mergeCell ref="X28:Y28"/>
    <mergeCell ref="C29:F29"/>
    <mergeCell ref="G29:J29"/>
    <mergeCell ref="K29:N29"/>
    <mergeCell ref="O29:Q29"/>
    <mergeCell ref="R29:S29"/>
    <mergeCell ref="T29:U29"/>
    <mergeCell ref="V29:W29"/>
    <mergeCell ref="X29:Y29"/>
    <mergeCell ref="C24:F24"/>
    <mergeCell ref="G24:J24"/>
    <mergeCell ref="K24:N24"/>
    <mergeCell ref="O24:Q24"/>
    <mergeCell ref="R24:S24"/>
    <mergeCell ref="T24:U24"/>
    <mergeCell ref="V24:W24"/>
    <mergeCell ref="X24:Y24"/>
    <mergeCell ref="C25:F25"/>
    <mergeCell ref="G25:J25"/>
    <mergeCell ref="K25:N25"/>
    <mergeCell ref="O25:Q25"/>
    <mergeCell ref="R25:S25"/>
    <mergeCell ref="T25:U25"/>
    <mergeCell ref="V25:W25"/>
    <mergeCell ref="X25:Y25"/>
    <mergeCell ref="C26:F26"/>
    <mergeCell ref="G26:J26"/>
    <mergeCell ref="K26:N26"/>
    <mergeCell ref="O26:Q26"/>
    <mergeCell ref="R26:S26"/>
    <mergeCell ref="T26:U26"/>
    <mergeCell ref="V26:W26"/>
    <mergeCell ref="X26:Y26"/>
    <mergeCell ref="C21:F21"/>
    <mergeCell ref="G21:J21"/>
    <mergeCell ref="K21:N21"/>
    <mergeCell ref="O21:Q21"/>
    <mergeCell ref="R21:S21"/>
    <mergeCell ref="T21:U21"/>
    <mergeCell ref="V21:W21"/>
    <mergeCell ref="X21:Y21"/>
    <mergeCell ref="C22:F22"/>
    <mergeCell ref="G22:J22"/>
    <mergeCell ref="K22:N22"/>
    <mergeCell ref="O22:Q22"/>
    <mergeCell ref="R22:S22"/>
    <mergeCell ref="T22:U22"/>
    <mergeCell ref="V22:W22"/>
    <mergeCell ref="X22:Y22"/>
    <mergeCell ref="C23:F23"/>
    <mergeCell ref="G23:J23"/>
    <mergeCell ref="K23:N23"/>
    <mergeCell ref="O23:Q23"/>
    <mergeCell ref="R23:S23"/>
    <mergeCell ref="T23:U23"/>
    <mergeCell ref="V23:W23"/>
    <mergeCell ref="X23:Y23"/>
    <mergeCell ref="C17:F17"/>
    <mergeCell ref="G17:J17"/>
    <mergeCell ref="K17:N17"/>
    <mergeCell ref="O17:Q17"/>
    <mergeCell ref="R17:S17"/>
    <mergeCell ref="T17:U17"/>
    <mergeCell ref="V17:W17"/>
    <mergeCell ref="X17:Y17"/>
    <mergeCell ref="C18:F18"/>
    <mergeCell ref="G18:J18"/>
    <mergeCell ref="K18:N18"/>
    <mergeCell ref="O18:Q18"/>
    <mergeCell ref="R18:S18"/>
    <mergeCell ref="T18:U18"/>
    <mergeCell ref="V18:W18"/>
    <mergeCell ref="X18:Y18"/>
    <mergeCell ref="C20:F20"/>
    <mergeCell ref="G20:J20"/>
    <mergeCell ref="K20:W20"/>
    <mergeCell ref="C14:F14"/>
    <mergeCell ref="G14:J14"/>
    <mergeCell ref="K14:N14"/>
    <mergeCell ref="O14:Q14"/>
    <mergeCell ref="R14:S14"/>
    <mergeCell ref="T14:U14"/>
    <mergeCell ref="V14:W14"/>
    <mergeCell ref="X14:Y14"/>
    <mergeCell ref="C15:F15"/>
    <mergeCell ref="G15:J15"/>
    <mergeCell ref="K15:N15"/>
    <mergeCell ref="O15:Q15"/>
    <mergeCell ref="R15:S15"/>
    <mergeCell ref="T15:U15"/>
    <mergeCell ref="V15:W15"/>
    <mergeCell ref="X15:Y15"/>
    <mergeCell ref="C16:F16"/>
    <mergeCell ref="G16:J16"/>
    <mergeCell ref="K16:N16"/>
    <mergeCell ref="O16:Q16"/>
    <mergeCell ref="R16:S16"/>
    <mergeCell ref="T16:U16"/>
    <mergeCell ref="V16:W16"/>
    <mergeCell ref="X16:Y16"/>
    <mergeCell ref="C9:F9"/>
    <mergeCell ref="G9:J9"/>
    <mergeCell ref="K9:N9"/>
    <mergeCell ref="O9:Q9"/>
    <mergeCell ref="R9:S9"/>
    <mergeCell ref="T9:U9"/>
    <mergeCell ref="V9:W9"/>
    <mergeCell ref="X9:Y9"/>
    <mergeCell ref="A10:Y10"/>
    <mergeCell ref="C12:F12"/>
    <mergeCell ref="G12:J12"/>
    <mergeCell ref="K12:W12"/>
    <mergeCell ref="C13:F13"/>
    <mergeCell ref="G13:J13"/>
    <mergeCell ref="K13:N13"/>
    <mergeCell ref="O13:Q13"/>
    <mergeCell ref="R13:S13"/>
    <mergeCell ref="T13:U13"/>
    <mergeCell ref="V13:W13"/>
    <mergeCell ref="X13:Y13"/>
    <mergeCell ref="C6:F6"/>
    <mergeCell ref="G6:J6"/>
    <mergeCell ref="K6:N6"/>
    <mergeCell ref="O6:Q6"/>
    <mergeCell ref="R6:S6"/>
    <mergeCell ref="T6:U6"/>
    <mergeCell ref="V6:W6"/>
    <mergeCell ref="X6:Y6"/>
    <mergeCell ref="C7:F7"/>
    <mergeCell ref="G7:J7"/>
    <mergeCell ref="K7:N7"/>
    <mergeCell ref="O7:Q7"/>
    <mergeCell ref="R7:S7"/>
    <mergeCell ref="T7:U7"/>
    <mergeCell ref="V7:W7"/>
    <mergeCell ref="X7:Y7"/>
    <mergeCell ref="C8:F8"/>
    <mergeCell ref="G8:J8"/>
    <mergeCell ref="K8:N8"/>
    <mergeCell ref="O8:Q8"/>
    <mergeCell ref="R8:S8"/>
    <mergeCell ref="T8:U8"/>
    <mergeCell ref="V8:W8"/>
    <mergeCell ref="X8:Y8"/>
    <mergeCell ref="A1:Y1"/>
    <mergeCell ref="C3:F3"/>
    <mergeCell ref="G3:J3"/>
    <mergeCell ref="K3:W3"/>
    <mergeCell ref="C4:F4"/>
    <mergeCell ref="G4:J4"/>
    <mergeCell ref="K4:N4"/>
    <mergeCell ref="O4:Q4"/>
    <mergeCell ref="R4:S4"/>
    <mergeCell ref="T4:U4"/>
    <mergeCell ref="V4:W4"/>
    <mergeCell ref="X4:Y4"/>
    <mergeCell ref="C5:F5"/>
    <mergeCell ref="G5:J5"/>
    <mergeCell ref="K5:N5"/>
    <mergeCell ref="O5:Q5"/>
    <mergeCell ref="R5:S5"/>
    <mergeCell ref="T5:U5"/>
    <mergeCell ref="V5:W5"/>
    <mergeCell ref="X5:Y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971"/>
  <sheetViews>
    <sheetView tabSelected="1" topLeftCell="A153" zoomScale="55" zoomScaleNormal="55" workbookViewId="0">
      <selection activeCell="AC160" sqref="AC160"/>
    </sheetView>
  </sheetViews>
  <sheetFormatPr baseColWidth="10" defaultColWidth="12.5703125" defaultRowHeight="12.75" x14ac:dyDescent="0.2"/>
  <cols>
    <col min="1" max="1" width="5.5703125" customWidth="1"/>
    <col min="2" max="2" width="28.42578125" customWidth="1"/>
    <col min="3" max="3" width="28.7109375" customWidth="1"/>
    <col min="4" max="9" width="3.85546875" customWidth="1"/>
    <col min="10" max="10" width="27.5703125" customWidth="1"/>
    <col min="11" max="22" width="3.85546875" customWidth="1"/>
    <col min="23" max="23" width="4.5703125" customWidth="1"/>
    <col min="24" max="24" width="17" customWidth="1"/>
    <col min="25" max="25" width="30.42578125" customWidth="1"/>
  </cols>
  <sheetData>
    <row r="1" spans="1:25" ht="39" customHeight="1" x14ac:dyDescent="0.2">
      <c r="A1" s="61" t="s">
        <v>609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</row>
    <row r="2" spans="1:25" ht="28.5" customHeight="1" x14ac:dyDescent="0.2"/>
    <row r="3" spans="1:25" ht="54" customHeight="1" x14ac:dyDescent="0.2">
      <c r="A3" s="37">
        <f>'Invetario de Tablas'!A4</f>
        <v>1</v>
      </c>
      <c r="B3" s="44" t="s">
        <v>177</v>
      </c>
      <c r="C3" s="6" t="str">
        <f>'Invetario de Tablas'!B4</f>
        <v>rol</v>
      </c>
      <c r="D3" s="6"/>
      <c r="E3" s="6"/>
      <c r="F3" s="6"/>
      <c r="G3" s="62" t="s">
        <v>178</v>
      </c>
      <c r="H3" s="62"/>
      <c r="I3" s="62"/>
      <c r="J3" s="62"/>
      <c r="K3" s="4" t="str">
        <f>'Invetario de Tablas'!C4</f>
        <v>Catálogo de roles del sistema (administrador, auxiliar, miembro, visitante).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5" t="s">
        <v>255</v>
      </c>
      <c r="Y3" s="32" t="s">
        <v>610</v>
      </c>
    </row>
    <row r="4" spans="1:25" ht="45" customHeight="1" x14ac:dyDescent="0.2">
      <c r="A4" s="46" t="s">
        <v>1</v>
      </c>
      <c r="B4" s="47" t="s">
        <v>257</v>
      </c>
      <c r="C4" s="63" t="s">
        <v>258</v>
      </c>
      <c r="D4" s="63"/>
      <c r="E4" s="63"/>
      <c r="F4" s="63"/>
      <c r="G4" s="63" t="s">
        <v>611</v>
      </c>
      <c r="H4" s="63"/>
      <c r="I4" s="63"/>
      <c r="J4" s="63"/>
      <c r="K4" s="63" t="s">
        <v>260</v>
      </c>
      <c r="L4" s="63"/>
      <c r="M4" s="63"/>
      <c r="N4" s="63"/>
      <c r="O4" s="63" t="s">
        <v>261</v>
      </c>
      <c r="P4" s="63"/>
      <c r="Q4" s="63"/>
      <c r="R4" s="63" t="s">
        <v>262</v>
      </c>
      <c r="S4" s="63"/>
      <c r="T4" s="63" t="s">
        <v>263</v>
      </c>
      <c r="U4" s="63"/>
      <c r="V4" s="63" t="s">
        <v>264</v>
      </c>
      <c r="W4" s="63"/>
      <c r="X4" s="64" t="s">
        <v>265</v>
      </c>
      <c r="Y4" s="64"/>
    </row>
    <row r="5" spans="1:25" ht="30" customHeight="1" x14ac:dyDescent="0.2">
      <c r="A5" s="35">
        <v>1</v>
      </c>
      <c r="B5" s="36" t="s">
        <v>266</v>
      </c>
      <c r="C5" s="1" t="s">
        <v>267</v>
      </c>
      <c r="D5" s="1"/>
      <c r="E5" s="1"/>
      <c r="F5" s="1"/>
      <c r="G5" s="1" t="s">
        <v>612</v>
      </c>
      <c r="H5" s="1"/>
      <c r="I5" s="1"/>
      <c r="J5" s="1"/>
      <c r="K5" s="1" t="s">
        <v>80</v>
      </c>
      <c r="L5" s="1"/>
      <c r="M5" s="1"/>
      <c r="N5" s="1"/>
      <c r="O5" s="48" t="s">
        <v>269</v>
      </c>
      <c r="P5" s="48"/>
      <c r="Q5" s="48"/>
      <c r="R5" s="48" t="s">
        <v>270</v>
      </c>
      <c r="S5" s="48"/>
      <c r="T5" s="48"/>
      <c r="U5" s="48"/>
      <c r="V5" s="48"/>
      <c r="W5" s="48"/>
      <c r="X5" s="49" t="s">
        <v>637</v>
      </c>
      <c r="Y5" s="49"/>
    </row>
    <row r="6" spans="1:25" ht="90" customHeight="1" x14ac:dyDescent="0.2">
      <c r="A6" s="35">
        <v>2</v>
      </c>
      <c r="B6" s="36" t="s">
        <v>272</v>
      </c>
      <c r="C6" s="1" t="s">
        <v>273</v>
      </c>
      <c r="D6" s="1"/>
      <c r="E6" s="1"/>
      <c r="F6" s="1"/>
      <c r="G6" s="1" t="s">
        <v>613</v>
      </c>
      <c r="H6" s="1"/>
      <c r="I6" s="1"/>
      <c r="J6" s="1"/>
      <c r="K6" s="1" t="s">
        <v>614</v>
      </c>
      <c r="L6" s="1"/>
      <c r="M6" s="1"/>
      <c r="N6" s="1"/>
      <c r="O6" s="48" t="s">
        <v>269</v>
      </c>
      <c r="P6" s="48"/>
      <c r="Q6" s="48"/>
      <c r="R6" s="48"/>
      <c r="S6" s="48"/>
      <c r="T6" s="48"/>
      <c r="U6" s="48"/>
      <c r="V6" s="48" t="s">
        <v>270</v>
      </c>
      <c r="W6" s="48"/>
      <c r="X6" s="49"/>
      <c r="Y6" s="49"/>
    </row>
    <row r="7" spans="1:25" ht="48" customHeight="1" x14ac:dyDescent="0.2">
      <c r="A7" s="35">
        <v>3</v>
      </c>
      <c r="B7" s="36" t="s">
        <v>276</v>
      </c>
      <c r="C7" s="1" t="s">
        <v>277</v>
      </c>
      <c r="D7" s="1"/>
      <c r="E7" s="1"/>
      <c r="F7" s="1"/>
      <c r="G7" s="1" t="s">
        <v>278</v>
      </c>
      <c r="H7" s="1"/>
      <c r="I7" s="1"/>
      <c r="J7" s="1"/>
      <c r="K7" s="1" t="s">
        <v>82</v>
      </c>
      <c r="L7" s="1"/>
      <c r="M7" s="1"/>
      <c r="N7" s="1"/>
      <c r="O7" s="48" t="s">
        <v>269</v>
      </c>
      <c r="P7" s="48"/>
      <c r="Q7" s="48"/>
      <c r="R7" s="48"/>
      <c r="S7" s="48"/>
      <c r="T7" s="48"/>
      <c r="U7" s="48"/>
      <c r="V7" s="48" t="s">
        <v>270</v>
      </c>
      <c r="W7" s="48"/>
      <c r="X7" s="49"/>
      <c r="Y7" s="49"/>
    </row>
    <row r="8" spans="1:25" ht="48" customHeight="1" x14ac:dyDescent="0.2">
      <c r="A8" s="35">
        <v>4</v>
      </c>
      <c r="B8" s="36" t="s">
        <v>279</v>
      </c>
      <c r="C8" s="1" t="s">
        <v>280</v>
      </c>
      <c r="D8" s="1"/>
      <c r="E8" s="1"/>
      <c r="F8" s="1"/>
      <c r="G8" s="1" t="s">
        <v>615</v>
      </c>
      <c r="H8" s="1"/>
      <c r="I8" s="1"/>
      <c r="J8" s="1"/>
      <c r="K8" s="1" t="s">
        <v>616</v>
      </c>
      <c r="L8" s="1"/>
      <c r="M8" s="1"/>
      <c r="N8" s="1"/>
      <c r="O8" s="48" t="s">
        <v>283</v>
      </c>
      <c r="P8" s="48"/>
      <c r="Q8" s="48"/>
      <c r="R8" s="48"/>
      <c r="S8" s="48"/>
      <c r="T8" s="48"/>
      <c r="U8" s="48"/>
      <c r="V8" s="48"/>
      <c r="W8" s="48"/>
      <c r="X8" s="49"/>
      <c r="Y8" s="49"/>
    </row>
    <row r="9" spans="1:25" ht="48" customHeight="1" x14ac:dyDescent="0.2">
      <c r="A9" s="35">
        <v>5</v>
      </c>
      <c r="B9" s="36" t="s">
        <v>284</v>
      </c>
      <c r="C9" s="1" t="s">
        <v>285</v>
      </c>
      <c r="D9" s="1"/>
      <c r="E9" s="1"/>
      <c r="F9" s="1"/>
      <c r="G9" s="1" t="s">
        <v>52</v>
      </c>
      <c r="H9" s="1"/>
      <c r="I9" s="1"/>
      <c r="J9" s="1"/>
      <c r="K9" s="1" t="s">
        <v>617</v>
      </c>
      <c r="L9" s="1"/>
      <c r="M9" s="1"/>
      <c r="N9" s="1"/>
      <c r="O9" s="48" t="s">
        <v>269</v>
      </c>
      <c r="P9" s="48"/>
      <c r="Q9" s="48"/>
      <c r="R9" s="48"/>
      <c r="S9" s="48"/>
      <c r="T9" s="48"/>
      <c r="U9" s="48"/>
      <c r="V9" s="48"/>
      <c r="W9" s="48"/>
      <c r="X9" s="49" t="s">
        <v>618</v>
      </c>
      <c r="Y9" s="49"/>
    </row>
    <row r="10" spans="1:25" ht="39.75" customHeight="1" x14ac:dyDescent="0.2">
      <c r="A10" s="50" t="s">
        <v>287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</row>
    <row r="11" spans="1:25" ht="24" customHeight="1" x14ac:dyDescent="0.2"/>
    <row r="12" spans="1:25" ht="54" customHeight="1" x14ac:dyDescent="0.2">
      <c r="A12" s="37">
        <f>'Invetario de Tablas'!A5</f>
        <v>2</v>
      </c>
      <c r="B12" s="44" t="s">
        <v>177</v>
      </c>
      <c r="C12" s="6" t="str">
        <f>'Invetario de Tablas'!B5</f>
        <v>tipo_usuario</v>
      </c>
      <c r="D12" s="6"/>
      <c r="E12" s="6"/>
      <c r="F12" s="6"/>
      <c r="G12" s="62" t="s">
        <v>178</v>
      </c>
      <c r="H12" s="62"/>
      <c r="I12" s="62"/>
      <c r="J12" s="62"/>
      <c r="K12" s="4" t="str">
        <f>'Invetario de Tablas'!C5</f>
        <v>Clasificación de usuarios (estudiante, docente, empleado, empresario).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5" t="s">
        <v>255</v>
      </c>
      <c r="Y12" s="32" t="s">
        <v>610</v>
      </c>
    </row>
    <row r="13" spans="1:25" ht="45" customHeight="1" x14ac:dyDescent="0.2">
      <c r="A13" s="46" t="s">
        <v>1</v>
      </c>
      <c r="B13" s="47" t="s">
        <v>257</v>
      </c>
      <c r="C13" s="63" t="s">
        <v>258</v>
      </c>
      <c r="D13" s="63"/>
      <c r="E13" s="63"/>
      <c r="F13" s="63"/>
      <c r="G13" s="63" t="s">
        <v>611</v>
      </c>
      <c r="H13" s="63"/>
      <c r="I13" s="63"/>
      <c r="J13" s="63"/>
      <c r="K13" s="63" t="s">
        <v>260</v>
      </c>
      <c r="L13" s="63"/>
      <c r="M13" s="63"/>
      <c r="N13" s="63"/>
      <c r="O13" s="63" t="s">
        <v>261</v>
      </c>
      <c r="P13" s="63"/>
      <c r="Q13" s="63"/>
      <c r="R13" s="63" t="s">
        <v>262</v>
      </c>
      <c r="S13" s="63"/>
      <c r="T13" s="63" t="s">
        <v>263</v>
      </c>
      <c r="U13" s="63"/>
      <c r="V13" s="63" t="s">
        <v>264</v>
      </c>
      <c r="W13" s="63"/>
      <c r="X13" s="64" t="s">
        <v>265</v>
      </c>
      <c r="Y13" s="64"/>
    </row>
    <row r="14" spans="1:25" ht="48" customHeight="1" x14ac:dyDescent="0.2">
      <c r="A14" s="35">
        <v>1</v>
      </c>
      <c r="B14" s="36" t="s">
        <v>288</v>
      </c>
      <c r="C14" s="1" t="s">
        <v>289</v>
      </c>
      <c r="D14" s="1"/>
      <c r="E14" s="1"/>
      <c r="F14" s="1"/>
      <c r="G14" s="1" t="s">
        <v>612</v>
      </c>
      <c r="H14" s="1"/>
      <c r="I14" s="1"/>
      <c r="J14" s="1"/>
      <c r="K14" s="1" t="s">
        <v>80</v>
      </c>
      <c r="L14" s="1"/>
      <c r="M14" s="1"/>
      <c r="N14" s="1"/>
      <c r="O14" s="48" t="s">
        <v>269</v>
      </c>
      <c r="P14" s="48"/>
      <c r="Q14" s="48"/>
      <c r="R14" s="48" t="s">
        <v>270</v>
      </c>
      <c r="S14" s="48"/>
      <c r="T14" s="48"/>
      <c r="U14" s="48"/>
      <c r="V14" s="48"/>
      <c r="W14" s="48"/>
      <c r="X14" s="49" t="s">
        <v>637</v>
      </c>
      <c r="Y14" s="49"/>
    </row>
    <row r="15" spans="1:25" ht="69" customHeight="1" x14ac:dyDescent="0.2">
      <c r="A15" s="35">
        <v>2</v>
      </c>
      <c r="B15" s="36" t="s">
        <v>290</v>
      </c>
      <c r="C15" s="1" t="s">
        <v>291</v>
      </c>
      <c r="D15" s="1"/>
      <c r="E15" s="1"/>
      <c r="F15" s="1"/>
      <c r="G15" s="1" t="s">
        <v>613</v>
      </c>
      <c r="H15" s="1"/>
      <c r="I15" s="1"/>
      <c r="J15" s="1"/>
      <c r="K15" s="1" t="s">
        <v>614</v>
      </c>
      <c r="L15" s="1"/>
      <c r="M15" s="1"/>
      <c r="N15" s="1"/>
      <c r="O15" s="48" t="s">
        <v>269</v>
      </c>
      <c r="P15" s="48"/>
      <c r="Q15" s="48"/>
      <c r="R15" s="48"/>
      <c r="S15" s="48"/>
      <c r="T15" s="48"/>
      <c r="U15" s="48"/>
      <c r="V15" s="48" t="s">
        <v>270</v>
      </c>
      <c r="W15" s="48"/>
      <c r="X15" s="49"/>
      <c r="Y15" s="49"/>
    </row>
    <row r="16" spans="1:25" ht="48" customHeight="1" x14ac:dyDescent="0.2">
      <c r="A16" s="35">
        <v>3</v>
      </c>
      <c r="B16" s="36" t="s">
        <v>292</v>
      </c>
      <c r="C16" s="1" t="s">
        <v>293</v>
      </c>
      <c r="D16" s="1"/>
      <c r="E16" s="1"/>
      <c r="F16" s="1"/>
      <c r="G16" s="1" t="s">
        <v>278</v>
      </c>
      <c r="H16" s="1"/>
      <c r="I16" s="1"/>
      <c r="J16" s="1"/>
      <c r="K16" s="1" t="s">
        <v>82</v>
      </c>
      <c r="L16" s="1"/>
      <c r="M16" s="1"/>
      <c r="N16" s="1"/>
      <c r="O16" s="48" t="s">
        <v>269</v>
      </c>
      <c r="P16" s="48"/>
      <c r="Q16" s="48"/>
      <c r="R16" s="48"/>
      <c r="S16" s="48"/>
      <c r="T16" s="48"/>
      <c r="U16" s="48"/>
      <c r="V16" s="48" t="s">
        <v>270</v>
      </c>
      <c r="W16" s="48"/>
      <c r="X16" s="49"/>
      <c r="Y16" s="49"/>
    </row>
    <row r="17" spans="1:25" ht="48" customHeight="1" x14ac:dyDescent="0.2">
      <c r="A17" s="35">
        <v>4</v>
      </c>
      <c r="B17" s="36" t="s">
        <v>294</v>
      </c>
      <c r="C17" s="1" t="s">
        <v>295</v>
      </c>
      <c r="D17" s="1"/>
      <c r="E17" s="1"/>
      <c r="F17" s="1"/>
      <c r="G17" s="1" t="s">
        <v>615</v>
      </c>
      <c r="H17" s="1"/>
      <c r="I17" s="1"/>
      <c r="J17" s="1"/>
      <c r="K17" s="1" t="s">
        <v>616</v>
      </c>
      <c r="L17" s="1"/>
      <c r="M17" s="1"/>
      <c r="N17" s="1"/>
      <c r="O17" s="48" t="s">
        <v>283</v>
      </c>
      <c r="P17" s="48"/>
      <c r="Q17" s="48"/>
      <c r="R17" s="48"/>
      <c r="S17" s="48"/>
      <c r="T17" s="48"/>
      <c r="U17" s="48"/>
      <c r="V17" s="48"/>
      <c r="W17" s="48"/>
      <c r="X17" s="49"/>
      <c r="Y17" s="49"/>
    </row>
    <row r="18" spans="1:25" ht="48" customHeight="1" x14ac:dyDescent="0.2">
      <c r="A18" s="35">
        <v>5</v>
      </c>
      <c r="B18" s="36" t="s">
        <v>284</v>
      </c>
      <c r="C18" s="1" t="s">
        <v>296</v>
      </c>
      <c r="D18" s="1"/>
      <c r="E18" s="1"/>
      <c r="F18" s="1"/>
      <c r="G18" s="1" t="s">
        <v>52</v>
      </c>
      <c r="H18" s="1"/>
      <c r="I18" s="1"/>
      <c r="J18" s="1"/>
      <c r="K18" s="1" t="s">
        <v>617</v>
      </c>
      <c r="L18" s="1"/>
      <c r="M18" s="1"/>
      <c r="N18" s="1"/>
      <c r="O18" s="48" t="s">
        <v>269</v>
      </c>
      <c r="P18" s="48"/>
      <c r="Q18" s="48"/>
      <c r="R18" s="48"/>
      <c r="S18" s="48"/>
      <c r="T18" s="48"/>
      <c r="U18" s="48"/>
      <c r="V18" s="48"/>
      <c r="W18" s="48"/>
      <c r="X18" s="49" t="s">
        <v>618</v>
      </c>
      <c r="Y18" s="49"/>
    </row>
    <row r="19" spans="1:25" ht="24" customHeight="1" x14ac:dyDescent="0.2"/>
    <row r="20" spans="1:25" ht="54" customHeight="1" x14ac:dyDescent="0.2">
      <c r="A20" s="37">
        <f>'Invetario de Tablas'!A6</f>
        <v>3</v>
      </c>
      <c r="B20" s="44" t="s">
        <v>177</v>
      </c>
      <c r="C20" s="6" t="str">
        <f>'Invetario de Tablas'!B6</f>
        <v>usuario</v>
      </c>
      <c r="D20" s="6"/>
      <c r="E20" s="6"/>
      <c r="F20" s="6"/>
      <c r="G20" s="62" t="s">
        <v>178</v>
      </c>
      <c r="H20" s="62"/>
      <c r="I20" s="62"/>
      <c r="J20" s="62"/>
      <c r="K20" s="4" t="str">
        <f>'Invetario de Tablas'!C6</f>
        <v>Registro central de personas en la red social universitaria.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5" t="s">
        <v>255</v>
      </c>
      <c r="Y20" s="32" t="s">
        <v>610</v>
      </c>
    </row>
    <row r="21" spans="1:25" ht="45" customHeight="1" x14ac:dyDescent="0.2">
      <c r="A21" s="46" t="s">
        <v>1</v>
      </c>
      <c r="B21" s="47" t="s">
        <v>257</v>
      </c>
      <c r="C21" s="63" t="s">
        <v>258</v>
      </c>
      <c r="D21" s="63"/>
      <c r="E21" s="63"/>
      <c r="F21" s="63"/>
      <c r="G21" s="63" t="s">
        <v>611</v>
      </c>
      <c r="H21" s="63"/>
      <c r="I21" s="63"/>
      <c r="J21" s="63"/>
      <c r="K21" s="63" t="s">
        <v>260</v>
      </c>
      <c r="L21" s="63"/>
      <c r="M21" s="63"/>
      <c r="N21" s="63"/>
      <c r="O21" s="63" t="s">
        <v>261</v>
      </c>
      <c r="P21" s="63"/>
      <c r="Q21" s="63"/>
      <c r="R21" s="63" t="s">
        <v>262</v>
      </c>
      <c r="S21" s="63"/>
      <c r="T21" s="63" t="s">
        <v>263</v>
      </c>
      <c r="U21" s="63"/>
      <c r="V21" s="63" t="s">
        <v>264</v>
      </c>
      <c r="W21" s="63"/>
      <c r="X21" s="64" t="s">
        <v>265</v>
      </c>
      <c r="Y21" s="64"/>
    </row>
    <row r="22" spans="1:25" ht="48" customHeight="1" x14ac:dyDescent="0.2">
      <c r="A22" s="35">
        <v>1</v>
      </c>
      <c r="B22" s="36" t="s">
        <v>297</v>
      </c>
      <c r="C22" s="1" t="s">
        <v>298</v>
      </c>
      <c r="D22" s="1"/>
      <c r="E22" s="1"/>
      <c r="F22" s="1"/>
      <c r="G22" s="1" t="s">
        <v>619</v>
      </c>
      <c r="H22" s="1"/>
      <c r="I22" s="1"/>
      <c r="J22" s="1"/>
      <c r="K22" s="1" t="s">
        <v>89</v>
      </c>
      <c r="L22" s="1"/>
      <c r="M22" s="1"/>
      <c r="N22" s="1"/>
      <c r="O22" s="48" t="s">
        <v>269</v>
      </c>
      <c r="P22" s="48"/>
      <c r="Q22" s="48"/>
      <c r="R22" s="48" t="s">
        <v>270</v>
      </c>
      <c r="S22" s="48"/>
      <c r="T22" s="48"/>
      <c r="U22" s="48"/>
      <c r="V22" s="48"/>
      <c r="W22" s="48"/>
      <c r="X22" s="49" t="s">
        <v>637</v>
      </c>
      <c r="Y22" s="49"/>
    </row>
    <row r="23" spans="1:25" ht="69" customHeight="1" x14ac:dyDescent="0.2">
      <c r="A23" s="35">
        <v>2</v>
      </c>
      <c r="B23" s="36" t="s">
        <v>300</v>
      </c>
      <c r="C23" s="1" t="s">
        <v>301</v>
      </c>
      <c r="D23" s="1"/>
      <c r="E23" s="1"/>
      <c r="F23" s="1"/>
      <c r="G23" s="1" t="s">
        <v>26</v>
      </c>
      <c r="H23" s="1"/>
      <c r="I23" s="1"/>
      <c r="J23" s="1"/>
      <c r="K23" s="1" t="s">
        <v>22</v>
      </c>
      <c r="L23" s="1"/>
      <c r="M23" s="1"/>
      <c r="N23" s="1"/>
      <c r="O23" s="48" t="s">
        <v>269</v>
      </c>
      <c r="P23" s="48"/>
      <c r="Q23" s="48"/>
      <c r="R23" s="48"/>
      <c r="S23" s="48"/>
      <c r="T23" s="48"/>
      <c r="U23" s="48"/>
      <c r="V23" s="48" t="s">
        <v>270</v>
      </c>
      <c r="W23" s="48"/>
      <c r="X23" s="49" t="s">
        <v>620</v>
      </c>
      <c r="Y23" s="49"/>
    </row>
    <row r="24" spans="1:25" ht="30" customHeight="1" x14ac:dyDescent="0.2">
      <c r="A24" s="35">
        <v>3</v>
      </c>
      <c r="B24" s="36" t="s">
        <v>266</v>
      </c>
      <c r="C24" s="1" t="s">
        <v>303</v>
      </c>
      <c r="D24" s="1"/>
      <c r="E24" s="1"/>
      <c r="F24" s="1"/>
      <c r="G24" s="1" t="s">
        <v>598</v>
      </c>
      <c r="H24" s="1"/>
      <c r="I24" s="1"/>
      <c r="J24" s="1"/>
      <c r="K24" s="1" t="s">
        <v>80</v>
      </c>
      <c r="L24" s="1"/>
      <c r="M24" s="1"/>
      <c r="N24" s="1"/>
      <c r="O24" s="48" t="s">
        <v>269</v>
      </c>
      <c r="P24" s="48"/>
      <c r="Q24" s="48"/>
      <c r="R24" s="48"/>
      <c r="S24" s="48"/>
      <c r="T24" s="48" t="s">
        <v>270</v>
      </c>
      <c r="U24" s="48"/>
      <c r="V24" s="48"/>
      <c r="W24" s="48"/>
      <c r="X24" s="49" t="s">
        <v>305</v>
      </c>
      <c r="Y24" s="49"/>
    </row>
    <row r="25" spans="1:25" ht="48" customHeight="1" x14ac:dyDescent="0.2">
      <c r="A25" s="35">
        <v>4</v>
      </c>
      <c r="B25" s="36" t="s">
        <v>288</v>
      </c>
      <c r="C25" s="1" t="s">
        <v>306</v>
      </c>
      <c r="D25" s="1"/>
      <c r="E25" s="1"/>
      <c r="F25" s="1"/>
      <c r="G25" s="1" t="s">
        <v>598</v>
      </c>
      <c r="H25" s="1"/>
      <c r="I25" s="1"/>
      <c r="J25" s="1"/>
      <c r="K25" s="1" t="s">
        <v>80</v>
      </c>
      <c r="L25" s="1"/>
      <c r="M25" s="1"/>
      <c r="N25" s="1"/>
      <c r="O25" s="48" t="s">
        <v>269</v>
      </c>
      <c r="P25" s="48"/>
      <c r="Q25" s="48"/>
      <c r="R25" s="48"/>
      <c r="S25" s="48"/>
      <c r="T25" s="48" t="s">
        <v>270</v>
      </c>
      <c r="U25" s="48"/>
      <c r="V25" s="48"/>
      <c r="W25" s="48"/>
      <c r="X25" s="49" t="s">
        <v>307</v>
      </c>
      <c r="Y25" s="49"/>
    </row>
    <row r="26" spans="1:25" ht="48" customHeight="1" x14ac:dyDescent="0.2">
      <c r="A26" s="35">
        <v>5</v>
      </c>
      <c r="B26" s="36" t="s">
        <v>308</v>
      </c>
      <c r="C26" s="1" t="s">
        <v>309</v>
      </c>
      <c r="D26" s="1"/>
      <c r="E26" s="1"/>
      <c r="F26" s="1"/>
      <c r="G26" s="1" t="s">
        <v>310</v>
      </c>
      <c r="H26" s="1"/>
      <c r="I26" s="1"/>
      <c r="J26" s="1"/>
      <c r="K26" s="1" t="s">
        <v>311</v>
      </c>
      <c r="L26" s="1"/>
      <c r="M26" s="1"/>
      <c r="N26" s="1"/>
      <c r="O26" s="48" t="s">
        <v>269</v>
      </c>
      <c r="P26" s="48"/>
      <c r="Q26" s="48"/>
      <c r="R26" s="48"/>
      <c r="S26" s="48"/>
      <c r="T26" s="48"/>
      <c r="U26" s="48"/>
      <c r="V26" s="48" t="s">
        <v>270</v>
      </c>
      <c r="W26" s="48"/>
      <c r="X26" s="49"/>
      <c r="Y26" s="49"/>
    </row>
    <row r="27" spans="1:25" ht="48" customHeight="1" x14ac:dyDescent="0.2">
      <c r="A27" s="35">
        <v>6</v>
      </c>
      <c r="B27" s="36" t="s">
        <v>312</v>
      </c>
      <c r="C27" s="1" t="s">
        <v>313</v>
      </c>
      <c r="D27" s="1"/>
      <c r="E27" s="1"/>
      <c r="F27" s="1"/>
      <c r="G27" s="1" t="s">
        <v>621</v>
      </c>
      <c r="H27" s="1"/>
      <c r="I27" s="1"/>
      <c r="J27" s="1"/>
      <c r="K27" s="1" t="s">
        <v>622</v>
      </c>
      <c r="L27" s="1"/>
      <c r="M27" s="1"/>
      <c r="N27" s="1"/>
      <c r="O27" s="48" t="s">
        <v>269</v>
      </c>
      <c r="P27" s="48"/>
      <c r="Q27" s="48"/>
      <c r="R27" s="48"/>
      <c r="S27" s="48"/>
      <c r="T27" s="48"/>
      <c r="U27" s="48"/>
      <c r="V27" s="48"/>
      <c r="W27" s="48"/>
      <c r="X27" s="49"/>
      <c r="Y27" s="49"/>
    </row>
    <row r="28" spans="1:25" ht="48" customHeight="1" x14ac:dyDescent="0.2">
      <c r="A28" s="35">
        <v>7</v>
      </c>
      <c r="B28" s="36" t="s">
        <v>316</v>
      </c>
      <c r="C28" s="1" t="s">
        <v>317</v>
      </c>
      <c r="D28" s="1"/>
      <c r="E28" s="1"/>
      <c r="F28" s="1"/>
      <c r="G28" s="1" t="s">
        <v>621</v>
      </c>
      <c r="H28" s="1"/>
      <c r="I28" s="1"/>
      <c r="J28" s="1"/>
      <c r="K28" s="1" t="s">
        <v>622</v>
      </c>
      <c r="L28" s="1"/>
      <c r="M28" s="1"/>
      <c r="N28" s="1"/>
      <c r="O28" s="48" t="s">
        <v>269</v>
      </c>
      <c r="P28" s="48"/>
      <c r="Q28" s="48"/>
      <c r="R28" s="48"/>
      <c r="S28" s="48"/>
      <c r="T28" s="48"/>
      <c r="U28" s="48"/>
      <c r="V28" s="48"/>
      <c r="W28" s="48"/>
      <c r="X28" s="49"/>
      <c r="Y28" s="49"/>
    </row>
    <row r="29" spans="1:25" ht="48" customHeight="1" x14ac:dyDescent="0.2">
      <c r="A29" s="35">
        <v>8</v>
      </c>
      <c r="B29" s="36" t="s">
        <v>318</v>
      </c>
      <c r="C29" s="1" t="s">
        <v>319</v>
      </c>
      <c r="D29" s="1"/>
      <c r="E29" s="1"/>
      <c r="F29" s="1"/>
      <c r="G29" s="1" t="s">
        <v>320</v>
      </c>
      <c r="H29" s="1"/>
      <c r="I29" s="1"/>
      <c r="J29" s="1"/>
      <c r="K29" s="1" t="s">
        <v>321</v>
      </c>
      <c r="L29" s="1"/>
      <c r="M29" s="1"/>
      <c r="N29" s="1"/>
      <c r="O29" s="48" t="s">
        <v>269</v>
      </c>
      <c r="P29" s="48"/>
      <c r="Q29" s="48"/>
      <c r="R29" s="48"/>
      <c r="S29" s="48"/>
      <c r="T29" s="48"/>
      <c r="U29" s="48"/>
      <c r="V29" s="48" t="s">
        <v>270</v>
      </c>
      <c r="W29" s="48"/>
      <c r="X29" s="49"/>
      <c r="Y29" s="49"/>
    </row>
    <row r="30" spans="1:25" ht="48" customHeight="1" x14ac:dyDescent="0.2">
      <c r="A30" s="35">
        <v>9</v>
      </c>
      <c r="B30" s="36" t="s">
        <v>322</v>
      </c>
      <c r="C30" s="1" t="s">
        <v>323</v>
      </c>
      <c r="D30" s="1"/>
      <c r="E30" s="1"/>
      <c r="F30" s="1"/>
      <c r="G30" s="1" t="s">
        <v>324</v>
      </c>
      <c r="H30" s="1"/>
      <c r="I30" s="1"/>
      <c r="J30" s="1"/>
      <c r="K30" s="1" t="s">
        <v>325</v>
      </c>
      <c r="L30" s="1"/>
      <c r="M30" s="1"/>
      <c r="N30" s="1"/>
      <c r="O30" s="48" t="s">
        <v>269</v>
      </c>
      <c r="P30" s="48"/>
      <c r="Q30" s="48"/>
      <c r="R30" s="48"/>
      <c r="S30" s="48"/>
      <c r="T30" s="48"/>
      <c r="U30" s="48"/>
      <c r="V30" s="48"/>
      <c r="W30" s="48"/>
      <c r="X30" s="49" t="s">
        <v>326</v>
      </c>
      <c r="Y30" s="49"/>
    </row>
    <row r="31" spans="1:25" ht="30" customHeight="1" x14ac:dyDescent="0.2">
      <c r="A31" s="35">
        <v>10</v>
      </c>
      <c r="B31" s="36" t="s">
        <v>327</v>
      </c>
      <c r="C31" s="1" t="s">
        <v>328</v>
      </c>
      <c r="D31" s="1"/>
      <c r="E31" s="1"/>
      <c r="F31" s="1"/>
      <c r="G31" s="1" t="s">
        <v>78</v>
      </c>
      <c r="H31" s="1"/>
      <c r="I31" s="1"/>
      <c r="J31" s="1"/>
      <c r="K31" s="1" t="s">
        <v>82</v>
      </c>
      <c r="L31" s="1"/>
      <c r="M31" s="1"/>
      <c r="N31" s="1"/>
      <c r="O31" s="48" t="s">
        <v>283</v>
      </c>
      <c r="P31" s="48"/>
      <c r="Q31" s="48"/>
      <c r="R31" s="48"/>
      <c r="S31" s="48"/>
      <c r="T31" s="48"/>
      <c r="U31" s="48"/>
      <c r="V31" s="48"/>
      <c r="W31" s="48"/>
      <c r="X31" s="49"/>
      <c r="Y31" s="49"/>
    </row>
    <row r="32" spans="1:25" ht="48" customHeight="1" x14ac:dyDescent="0.2">
      <c r="A32" s="35">
        <v>11</v>
      </c>
      <c r="B32" s="36" t="s">
        <v>284</v>
      </c>
      <c r="C32" s="1" t="s">
        <v>329</v>
      </c>
      <c r="D32" s="1"/>
      <c r="E32" s="1"/>
      <c r="F32" s="1"/>
      <c r="G32" s="1" t="s">
        <v>52</v>
      </c>
      <c r="H32" s="1"/>
      <c r="I32" s="1"/>
      <c r="J32" s="1"/>
      <c r="K32" s="1" t="s">
        <v>617</v>
      </c>
      <c r="L32" s="1"/>
      <c r="M32" s="1"/>
      <c r="N32" s="1"/>
      <c r="O32" s="48" t="s">
        <v>269</v>
      </c>
      <c r="P32" s="48"/>
      <c r="Q32" s="48"/>
      <c r="R32" s="48"/>
      <c r="S32" s="48"/>
      <c r="T32" s="48"/>
      <c r="U32" s="48"/>
      <c r="V32" s="48"/>
      <c r="W32" s="48"/>
      <c r="X32" s="49" t="s">
        <v>618</v>
      </c>
      <c r="Y32" s="49"/>
    </row>
    <row r="33" spans="1:25" ht="48" customHeight="1" x14ac:dyDescent="0.2">
      <c r="A33" s="35">
        <v>12</v>
      </c>
      <c r="B33" s="36" t="s">
        <v>330</v>
      </c>
      <c r="C33" s="1" t="s">
        <v>331</v>
      </c>
      <c r="D33" s="1"/>
      <c r="E33" s="1"/>
      <c r="F33" s="1"/>
      <c r="G33" s="1" t="s">
        <v>93</v>
      </c>
      <c r="H33" s="1"/>
      <c r="I33" s="1"/>
      <c r="J33" s="1"/>
      <c r="K33" s="1" t="s">
        <v>95</v>
      </c>
      <c r="L33" s="1"/>
      <c r="M33" s="1"/>
      <c r="N33" s="1"/>
      <c r="O33" s="48" t="s">
        <v>269</v>
      </c>
      <c r="P33" s="48"/>
      <c r="Q33" s="48"/>
      <c r="R33" s="48"/>
      <c r="S33" s="48"/>
      <c r="T33" s="48"/>
      <c r="U33" s="48"/>
      <c r="V33" s="48"/>
      <c r="W33" s="48"/>
      <c r="X33" s="49" t="s">
        <v>623</v>
      </c>
      <c r="Y33" s="49"/>
    </row>
    <row r="34" spans="1:25" ht="24" customHeight="1" x14ac:dyDescent="0.2"/>
    <row r="35" spans="1:25" ht="54" customHeight="1" x14ac:dyDescent="0.2">
      <c r="A35" s="37">
        <f>'Invetario de Tablas'!A7</f>
        <v>4</v>
      </c>
      <c r="B35" s="44" t="s">
        <v>177</v>
      </c>
      <c r="C35" s="6" t="str">
        <f>'Invetario de Tablas'!B7</f>
        <v>perfil</v>
      </c>
      <c r="D35" s="6"/>
      <c r="E35" s="6"/>
      <c r="F35" s="6"/>
      <c r="G35" s="62" t="s">
        <v>178</v>
      </c>
      <c r="H35" s="62"/>
      <c r="I35" s="62"/>
      <c r="J35" s="62"/>
      <c r="K35" s="4" t="str">
        <f>'Invetario de Tablas'!C7</f>
        <v>Datos complementarios, habilidades e intereses del usuario o grupo.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5" t="s">
        <v>255</v>
      </c>
      <c r="Y35" s="32" t="s">
        <v>610</v>
      </c>
    </row>
    <row r="36" spans="1:25" ht="45" customHeight="1" x14ac:dyDescent="0.2">
      <c r="A36" s="46" t="s">
        <v>1</v>
      </c>
      <c r="B36" s="47" t="s">
        <v>257</v>
      </c>
      <c r="C36" s="63" t="s">
        <v>258</v>
      </c>
      <c r="D36" s="63"/>
      <c r="E36" s="63"/>
      <c r="F36" s="63"/>
      <c r="G36" s="63" t="s">
        <v>611</v>
      </c>
      <c r="H36" s="63"/>
      <c r="I36" s="63"/>
      <c r="J36" s="63"/>
      <c r="K36" s="63" t="s">
        <v>260</v>
      </c>
      <c r="L36" s="63"/>
      <c r="M36" s="63"/>
      <c r="N36" s="63"/>
      <c r="O36" s="63" t="s">
        <v>261</v>
      </c>
      <c r="P36" s="63"/>
      <c r="Q36" s="63"/>
      <c r="R36" s="63" t="s">
        <v>262</v>
      </c>
      <c r="S36" s="63"/>
      <c r="T36" s="63" t="s">
        <v>263</v>
      </c>
      <c r="U36" s="63"/>
      <c r="V36" s="63" t="s">
        <v>264</v>
      </c>
      <c r="W36" s="63"/>
      <c r="X36" s="64" t="s">
        <v>265</v>
      </c>
      <c r="Y36" s="64"/>
    </row>
    <row r="37" spans="1:25" ht="48" customHeight="1" x14ac:dyDescent="0.2">
      <c r="A37" s="35">
        <v>1</v>
      </c>
      <c r="B37" s="36" t="s">
        <v>297</v>
      </c>
      <c r="C37" s="1" t="s">
        <v>333</v>
      </c>
      <c r="D37" s="1"/>
      <c r="E37" s="1"/>
      <c r="F37" s="1"/>
      <c r="G37" s="1" t="s">
        <v>334</v>
      </c>
      <c r="H37" s="1"/>
      <c r="I37" s="1"/>
      <c r="J37" s="1"/>
      <c r="K37" s="1" t="s">
        <v>89</v>
      </c>
      <c r="L37" s="1"/>
      <c r="M37" s="1"/>
      <c r="N37" s="1"/>
      <c r="O37" s="48" t="s">
        <v>269</v>
      </c>
      <c r="P37" s="48"/>
      <c r="Q37" s="48"/>
      <c r="R37" s="48" t="s">
        <v>270</v>
      </c>
      <c r="S37" s="48"/>
      <c r="T37" s="48" t="s">
        <v>270</v>
      </c>
      <c r="U37" s="48"/>
      <c r="V37" s="48"/>
      <c r="W37" s="48"/>
      <c r="X37" s="49" t="s">
        <v>335</v>
      </c>
      <c r="Y37" s="49"/>
    </row>
    <row r="38" spans="1:25" ht="48" customHeight="1" x14ac:dyDescent="0.2">
      <c r="A38" s="35">
        <v>2</v>
      </c>
      <c r="B38" s="36" t="s">
        <v>336</v>
      </c>
      <c r="C38" s="1" t="s">
        <v>337</v>
      </c>
      <c r="D38" s="1"/>
      <c r="E38" s="1"/>
      <c r="F38" s="1"/>
      <c r="G38" s="1" t="s">
        <v>338</v>
      </c>
      <c r="H38" s="1"/>
      <c r="I38" s="1"/>
      <c r="J38" s="1"/>
      <c r="K38" s="1" t="s">
        <v>339</v>
      </c>
      <c r="L38" s="1"/>
      <c r="M38" s="1"/>
      <c r="N38" s="1"/>
      <c r="O38" s="48" t="s">
        <v>283</v>
      </c>
      <c r="P38" s="48"/>
      <c r="Q38" s="48"/>
      <c r="R38" s="48"/>
      <c r="S38" s="48"/>
      <c r="T38" s="48"/>
      <c r="U38" s="48"/>
      <c r="V38" s="48"/>
      <c r="W38" s="48"/>
      <c r="X38" s="49"/>
      <c r="Y38" s="49"/>
    </row>
    <row r="39" spans="1:25" ht="69" customHeight="1" x14ac:dyDescent="0.2">
      <c r="A39" s="35">
        <v>3</v>
      </c>
      <c r="B39" s="36" t="s">
        <v>340</v>
      </c>
      <c r="C39" s="1" t="s">
        <v>341</v>
      </c>
      <c r="D39" s="1"/>
      <c r="E39" s="1"/>
      <c r="F39" s="1"/>
      <c r="G39" s="1" t="s">
        <v>63</v>
      </c>
      <c r="H39" s="1"/>
      <c r="I39" s="1"/>
      <c r="J39" s="1"/>
      <c r="K39" s="1" t="s">
        <v>65</v>
      </c>
      <c r="L39" s="1"/>
      <c r="M39" s="1"/>
      <c r="N39" s="1"/>
      <c r="O39" s="48" t="s">
        <v>283</v>
      </c>
      <c r="P39" s="48"/>
      <c r="Q39" s="48"/>
      <c r="R39" s="48"/>
      <c r="S39" s="48"/>
      <c r="T39" s="48"/>
      <c r="U39" s="48"/>
      <c r="V39" s="48"/>
      <c r="W39" s="48"/>
      <c r="X39" s="49"/>
      <c r="Y39" s="49"/>
    </row>
    <row r="40" spans="1:25" ht="48" customHeight="1" x14ac:dyDescent="0.2">
      <c r="A40" s="35">
        <v>4</v>
      </c>
      <c r="B40" s="36" t="s">
        <v>342</v>
      </c>
      <c r="C40" s="1" t="s">
        <v>343</v>
      </c>
      <c r="D40" s="1"/>
      <c r="E40" s="1"/>
      <c r="F40" s="1"/>
      <c r="G40" s="1" t="s">
        <v>624</v>
      </c>
      <c r="H40" s="1"/>
      <c r="I40" s="1"/>
      <c r="J40" s="1"/>
      <c r="K40" s="1" t="s">
        <v>625</v>
      </c>
      <c r="L40" s="1"/>
      <c r="M40" s="1"/>
      <c r="N40" s="1"/>
      <c r="O40" s="48" t="s">
        <v>283</v>
      </c>
      <c r="P40" s="48"/>
      <c r="Q40" s="48"/>
      <c r="R40" s="48"/>
      <c r="S40" s="48"/>
      <c r="T40" s="48"/>
      <c r="U40" s="48"/>
      <c r="V40" s="48"/>
      <c r="W40" s="48"/>
      <c r="X40" s="49"/>
      <c r="Y40" s="49"/>
    </row>
    <row r="41" spans="1:25" ht="48" customHeight="1" x14ac:dyDescent="0.2">
      <c r="A41" s="35">
        <v>5</v>
      </c>
      <c r="B41" s="36" t="s">
        <v>346</v>
      </c>
      <c r="C41" s="1" t="s">
        <v>347</v>
      </c>
      <c r="D41" s="1"/>
      <c r="E41" s="1"/>
      <c r="F41" s="1"/>
      <c r="G41" s="1" t="s">
        <v>598</v>
      </c>
      <c r="H41" s="1"/>
      <c r="I41" s="1"/>
      <c r="J41" s="1"/>
      <c r="K41" s="1" t="s">
        <v>80</v>
      </c>
      <c r="L41" s="1"/>
      <c r="M41" s="1"/>
      <c r="N41" s="1"/>
      <c r="O41" s="48" t="s">
        <v>283</v>
      </c>
      <c r="P41" s="48"/>
      <c r="Q41" s="48"/>
      <c r="R41" s="48"/>
      <c r="S41" s="48"/>
      <c r="T41" s="48"/>
      <c r="U41" s="48"/>
      <c r="V41" s="48"/>
      <c r="W41" s="48"/>
      <c r="X41" s="49" t="s">
        <v>348</v>
      </c>
      <c r="Y41" s="49"/>
    </row>
    <row r="42" spans="1:25" ht="69" customHeight="1" x14ac:dyDescent="0.2">
      <c r="A42" s="35">
        <v>6</v>
      </c>
      <c r="B42" s="36" t="s">
        <v>349</v>
      </c>
      <c r="C42" s="1" t="s">
        <v>350</v>
      </c>
      <c r="D42" s="1"/>
      <c r="E42" s="1"/>
      <c r="F42" s="1"/>
      <c r="G42" s="1" t="s">
        <v>152</v>
      </c>
      <c r="H42" s="1"/>
      <c r="I42" s="1"/>
      <c r="J42" s="1"/>
      <c r="K42" s="1" t="s">
        <v>65</v>
      </c>
      <c r="L42" s="1"/>
      <c r="M42" s="1"/>
      <c r="N42" s="1"/>
      <c r="O42" s="48" t="s">
        <v>283</v>
      </c>
      <c r="P42" s="48"/>
      <c r="Q42" s="48"/>
      <c r="R42" s="48"/>
      <c r="S42" s="48"/>
      <c r="T42" s="48"/>
      <c r="U42" s="48"/>
      <c r="V42" s="48"/>
      <c r="W42" s="48"/>
      <c r="X42" s="49" t="s">
        <v>626</v>
      </c>
      <c r="Y42" s="49"/>
    </row>
    <row r="43" spans="1:25" ht="48" customHeight="1" x14ac:dyDescent="0.2">
      <c r="A43" s="35">
        <v>7</v>
      </c>
      <c r="B43" s="36" t="s">
        <v>351</v>
      </c>
      <c r="C43" s="1" t="s">
        <v>352</v>
      </c>
      <c r="D43" s="1"/>
      <c r="E43" s="1"/>
      <c r="F43" s="1"/>
      <c r="G43" s="1" t="s">
        <v>93</v>
      </c>
      <c r="H43" s="1"/>
      <c r="I43" s="1"/>
      <c r="J43" s="1"/>
      <c r="K43" s="1" t="s">
        <v>95</v>
      </c>
      <c r="L43" s="1"/>
      <c r="M43" s="1"/>
      <c r="N43" s="1"/>
      <c r="O43" s="48" t="s">
        <v>269</v>
      </c>
      <c r="P43" s="48"/>
      <c r="Q43" s="48"/>
      <c r="R43" s="48"/>
      <c r="S43" s="48"/>
      <c r="T43" s="48"/>
      <c r="U43" s="48"/>
      <c r="V43" s="48"/>
      <c r="W43" s="48"/>
      <c r="X43" s="49" t="s">
        <v>623</v>
      </c>
      <c r="Y43" s="49"/>
    </row>
    <row r="44" spans="1:25" ht="24" customHeight="1" x14ac:dyDescent="0.2"/>
    <row r="45" spans="1:25" ht="54" customHeight="1" x14ac:dyDescent="0.2">
      <c r="A45" s="37">
        <f>'Invetario de Tablas'!A8</f>
        <v>5</v>
      </c>
      <c r="B45" s="44" t="s">
        <v>177</v>
      </c>
      <c r="C45" s="6" t="str">
        <f>'Invetario de Tablas'!B8</f>
        <v>categoria_publicacion</v>
      </c>
      <c r="D45" s="6"/>
      <c r="E45" s="6"/>
      <c r="F45" s="6"/>
      <c r="G45" s="62" t="s">
        <v>178</v>
      </c>
      <c r="H45" s="62"/>
      <c r="I45" s="62"/>
      <c r="J45" s="62"/>
      <c r="K45" s="4" t="str">
        <f>'Invetario de Tablas'!C8</f>
        <v>Clasificación de contenido (duda, recurso, noticia, meme).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5" t="s">
        <v>255</v>
      </c>
      <c r="Y45" s="32" t="s">
        <v>610</v>
      </c>
    </row>
    <row r="46" spans="1:25" ht="45" customHeight="1" x14ac:dyDescent="0.2">
      <c r="A46" s="46" t="s">
        <v>1</v>
      </c>
      <c r="B46" s="47" t="s">
        <v>257</v>
      </c>
      <c r="C46" s="63" t="s">
        <v>258</v>
      </c>
      <c r="D46" s="63"/>
      <c r="E46" s="63"/>
      <c r="F46" s="63"/>
      <c r="G46" s="63" t="s">
        <v>611</v>
      </c>
      <c r="H46" s="63"/>
      <c r="I46" s="63"/>
      <c r="J46" s="63"/>
      <c r="K46" s="63" t="s">
        <v>260</v>
      </c>
      <c r="L46" s="63"/>
      <c r="M46" s="63"/>
      <c r="N46" s="63"/>
      <c r="O46" s="63" t="s">
        <v>261</v>
      </c>
      <c r="P46" s="63"/>
      <c r="Q46" s="63"/>
      <c r="R46" s="63" t="s">
        <v>262</v>
      </c>
      <c r="S46" s="63"/>
      <c r="T46" s="63" t="s">
        <v>263</v>
      </c>
      <c r="U46" s="63"/>
      <c r="V46" s="63" t="s">
        <v>264</v>
      </c>
      <c r="W46" s="63"/>
      <c r="X46" s="64" t="s">
        <v>265</v>
      </c>
      <c r="Y46" s="64"/>
    </row>
    <row r="47" spans="1:25" ht="48" customHeight="1" x14ac:dyDescent="0.2">
      <c r="A47" s="35">
        <v>1</v>
      </c>
      <c r="B47" s="36" t="s">
        <v>353</v>
      </c>
      <c r="C47" s="1" t="s">
        <v>354</v>
      </c>
      <c r="D47" s="1"/>
      <c r="E47" s="1"/>
      <c r="F47" s="1"/>
      <c r="G47" s="1" t="s">
        <v>612</v>
      </c>
      <c r="H47" s="1"/>
      <c r="I47" s="1"/>
      <c r="J47" s="1"/>
      <c r="K47" s="1" t="s">
        <v>80</v>
      </c>
      <c r="L47" s="1"/>
      <c r="M47" s="1"/>
      <c r="N47" s="1"/>
      <c r="O47" s="48" t="s">
        <v>269</v>
      </c>
      <c r="P47" s="48"/>
      <c r="Q47" s="48"/>
      <c r="R47" s="48" t="s">
        <v>270</v>
      </c>
      <c r="S47" s="48"/>
      <c r="T47" s="48"/>
      <c r="U47" s="48"/>
      <c r="V47" s="48"/>
      <c r="W47" s="48"/>
      <c r="X47" s="49" t="s">
        <v>637</v>
      </c>
      <c r="Y47" s="49"/>
    </row>
    <row r="48" spans="1:25" ht="48" customHeight="1" x14ac:dyDescent="0.2">
      <c r="A48" s="35">
        <v>2</v>
      </c>
      <c r="B48" s="36" t="s">
        <v>355</v>
      </c>
      <c r="C48" s="1" t="s">
        <v>356</v>
      </c>
      <c r="D48" s="1"/>
      <c r="E48" s="1"/>
      <c r="F48" s="1"/>
      <c r="G48" s="1" t="s">
        <v>627</v>
      </c>
      <c r="H48" s="1"/>
      <c r="I48" s="1"/>
      <c r="J48" s="1"/>
      <c r="K48" s="1" t="s">
        <v>628</v>
      </c>
      <c r="L48" s="1"/>
      <c r="M48" s="1"/>
      <c r="N48" s="1"/>
      <c r="O48" s="48" t="s">
        <v>269</v>
      </c>
      <c r="P48" s="48"/>
      <c r="Q48" s="48"/>
      <c r="R48" s="48"/>
      <c r="S48" s="48"/>
      <c r="T48" s="48"/>
      <c r="U48" s="48"/>
      <c r="V48" s="48" t="s">
        <v>270</v>
      </c>
      <c r="W48" s="48"/>
      <c r="X48" s="49"/>
      <c r="Y48" s="49"/>
    </row>
    <row r="49" spans="1:25" ht="69" customHeight="1" x14ac:dyDescent="0.2">
      <c r="A49" s="35">
        <v>3</v>
      </c>
      <c r="B49" s="36" t="s">
        <v>359</v>
      </c>
      <c r="C49" s="1" t="s">
        <v>360</v>
      </c>
      <c r="D49" s="1"/>
      <c r="E49" s="1"/>
      <c r="F49" s="1"/>
      <c r="G49" s="1" t="s">
        <v>615</v>
      </c>
      <c r="H49" s="1"/>
      <c r="I49" s="1"/>
      <c r="J49" s="1"/>
      <c r="K49" s="1" t="s">
        <v>616</v>
      </c>
      <c r="L49" s="1"/>
      <c r="M49" s="1"/>
      <c r="N49" s="1"/>
      <c r="O49" s="48" t="s">
        <v>283</v>
      </c>
      <c r="P49" s="48"/>
      <c r="Q49" s="48"/>
      <c r="R49" s="48"/>
      <c r="S49" s="48"/>
      <c r="T49" s="48"/>
      <c r="U49" s="48"/>
      <c r="V49" s="48"/>
      <c r="W49" s="48"/>
      <c r="X49" s="49"/>
      <c r="Y49" s="49"/>
    </row>
    <row r="50" spans="1:25" ht="48" customHeight="1" x14ac:dyDescent="0.2">
      <c r="A50" s="35">
        <v>4</v>
      </c>
      <c r="B50" s="36" t="s">
        <v>284</v>
      </c>
      <c r="C50" s="1" t="s">
        <v>361</v>
      </c>
      <c r="D50" s="1"/>
      <c r="E50" s="1"/>
      <c r="F50" s="1"/>
      <c r="G50" s="1" t="s">
        <v>52</v>
      </c>
      <c r="H50" s="1"/>
      <c r="I50" s="1"/>
      <c r="J50" s="1"/>
      <c r="K50" s="1" t="s">
        <v>617</v>
      </c>
      <c r="L50" s="1"/>
      <c r="M50" s="1"/>
      <c r="N50" s="1"/>
      <c r="O50" s="48" t="s">
        <v>269</v>
      </c>
      <c r="P50" s="48"/>
      <c r="Q50" s="48"/>
      <c r="R50" s="48"/>
      <c r="S50" s="48"/>
      <c r="T50" s="48"/>
      <c r="U50" s="48"/>
      <c r="V50" s="48"/>
      <c r="W50" s="48"/>
      <c r="X50" s="49" t="s">
        <v>618</v>
      </c>
      <c r="Y50" s="49"/>
    </row>
    <row r="51" spans="1:25" ht="24" customHeight="1" x14ac:dyDescent="0.2"/>
    <row r="52" spans="1:25" ht="54" customHeight="1" x14ac:dyDescent="0.2">
      <c r="A52" s="37">
        <f>'Invetario de Tablas'!A9</f>
        <v>6</v>
      </c>
      <c r="B52" s="44" t="s">
        <v>177</v>
      </c>
      <c r="C52" s="6" t="str">
        <f>'Invetario de Tablas'!B9</f>
        <v>publicacion</v>
      </c>
      <c r="D52" s="6"/>
      <c r="E52" s="6"/>
      <c r="F52" s="6"/>
      <c r="G52" s="62" t="s">
        <v>178</v>
      </c>
      <c r="H52" s="62"/>
      <c r="I52" s="62"/>
      <c r="J52" s="62"/>
      <c r="K52" s="4" t="str">
        <f>'Invetario de Tablas'!C9</f>
        <v>Mensajes, preguntas o noticias compartidas por los usuarios.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5" t="s">
        <v>255</v>
      </c>
      <c r="Y52" s="32" t="s">
        <v>610</v>
      </c>
    </row>
    <row r="53" spans="1:25" ht="45" customHeight="1" x14ac:dyDescent="0.2">
      <c r="A53" s="46" t="s">
        <v>1</v>
      </c>
      <c r="B53" s="47" t="s">
        <v>257</v>
      </c>
      <c r="C53" s="63" t="s">
        <v>258</v>
      </c>
      <c r="D53" s="63"/>
      <c r="E53" s="63"/>
      <c r="F53" s="63"/>
      <c r="G53" s="63" t="s">
        <v>611</v>
      </c>
      <c r="H53" s="63"/>
      <c r="I53" s="63"/>
      <c r="J53" s="63"/>
      <c r="K53" s="63" t="s">
        <v>260</v>
      </c>
      <c r="L53" s="63"/>
      <c r="M53" s="63"/>
      <c r="N53" s="63"/>
      <c r="O53" s="63" t="s">
        <v>261</v>
      </c>
      <c r="P53" s="63"/>
      <c r="Q53" s="63"/>
      <c r="R53" s="63" t="s">
        <v>262</v>
      </c>
      <c r="S53" s="63"/>
      <c r="T53" s="63" t="s">
        <v>263</v>
      </c>
      <c r="U53" s="63"/>
      <c r="V53" s="63" t="s">
        <v>264</v>
      </c>
      <c r="W53" s="63"/>
      <c r="X53" s="64" t="s">
        <v>265</v>
      </c>
      <c r="Y53" s="64"/>
    </row>
    <row r="54" spans="1:25" ht="48" customHeight="1" x14ac:dyDescent="0.2">
      <c r="A54" s="35">
        <v>1</v>
      </c>
      <c r="B54" s="36" t="s">
        <v>362</v>
      </c>
      <c r="C54" s="1" t="s">
        <v>363</v>
      </c>
      <c r="D54" s="1"/>
      <c r="E54" s="1"/>
      <c r="F54" s="1"/>
      <c r="G54" s="1" t="s">
        <v>619</v>
      </c>
      <c r="H54" s="1"/>
      <c r="I54" s="1"/>
      <c r="J54" s="1"/>
      <c r="K54" s="1" t="s">
        <v>89</v>
      </c>
      <c r="L54" s="1"/>
      <c r="M54" s="1"/>
      <c r="N54" s="1"/>
      <c r="O54" s="48" t="s">
        <v>269</v>
      </c>
      <c r="P54" s="48"/>
      <c r="Q54" s="48"/>
      <c r="R54" s="48" t="s">
        <v>270</v>
      </c>
      <c r="S54" s="48"/>
      <c r="T54" s="48"/>
      <c r="U54" s="48"/>
      <c r="V54" s="48"/>
      <c r="W54" s="48"/>
      <c r="X54" s="49" t="s">
        <v>637</v>
      </c>
      <c r="Y54" s="49"/>
    </row>
    <row r="55" spans="1:25" ht="48" customHeight="1" x14ac:dyDescent="0.2">
      <c r="A55" s="35">
        <v>2</v>
      </c>
      <c r="B55" s="36" t="s">
        <v>297</v>
      </c>
      <c r="C55" s="1" t="s">
        <v>364</v>
      </c>
      <c r="D55" s="1"/>
      <c r="E55" s="1"/>
      <c r="F55" s="1"/>
      <c r="G55" s="1" t="s">
        <v>334</v>
      </c>
      <c r="H55" s="1"/>
      <c r="I55" s="1"/>
      <c r="J55" s="1"/>
      <c r="K55" s="1" t="s">
        <v>89</v>
      </c>
      <c r="L55" s="1"/>
      <c r="M55" s="1"/>
      <c r="N55" s="1"/>
      <c r="O55" s="48" t="s">
        <v>269</v>
      </c>
      <c r="P55" s="48"/>
      <c r="Q55" s="48"/>
      <c r="R55" s="48"/>
      <c r="S55" s="48"/>
      <c r="T55" s="48" t="s">
        <v>270</v>
      </c>
      <c r="U55" s="48"/>
      <c r="V55" s="48"/>
      <c r="W55" s="48"/>
      <c r="X55" s="49" t="s">
        <v>335</v>
      </c>
      <c r="Y55" s="49"/>
    </row>
    <row r="56" spans="1:25" ht="66" customHeight="1" x14ac:dyDescent="0.2">
      <c r="A56" s="35">
        <v>3</v>
      </c>
      <c r="B56" s="36" t="s">
        <v>353</v>
      </c>
      <c r="C56" s="1" t="s">
        <v>365</v>
      </c>
      <c r="D56" s="1"/>
      <c r="E56" s="1"/>
      <c r="F56" s="1"/>
      <c r="G56" s="1" t="s">
        <v>598</v>
      </c>
      <c r="H56" s="1"/>
      <c r="I56" s="1"/>
      <c r="J56" s="1"/>
      <c r="K56" s="1" t="s">
        <v>80</v>
      </c>
      <c r="L56" s="1"/>
      <c r="M56" s="1"/>
      <c r="N56" s="1"/>
      <c r="O56" s="48" t="s">
        <v>269</v>
      </c>
      <c r="P56" s="48"/>
      <c r="Q56" s="48"/>
      <c r="R56" s="48"/>
      <c r="S56" s="48"/>
      <c r="T56" s="48" t="s">
        <v>270</v>
      </c>
      <c r="U56" s="48"/>
      <c r="V56" s="48"/>
      <c r="W56" s="48"/>
      <c r="X56" s="49" t="s">
        <v>366</v>
      </c>
      <c r="Y56" s="49"/>
    </row>
    <row r="57" spans="1:25" ht="48" customHeight="1" x14ac:dyDescent="0.2">
      <c r="A57" s="35">
        <v>4</v>
      </c>
      <c r="B57" s="36" t="s">
        <v>367</v>
      </c>
      <c r="C57" s="1" t="s">
        <v>368</v>
      </c>
      <c r="D57" s="1"/>
      <c r="E57" s="1"/>
      <c r="F57" s="1"/>
      <c r="G57" s="1" t="s">
        <v>615</v>
      </c>
      <c r="H57" s="1"/>
      <c r="I57" s="1"/>
      <c r="J57" s="1"/>
      <c r="K57" s="1" t="s">
        <v>616</v>
      </c>
      <c r="L57" s="1"/>
      <c r="M57" s="1"/>
      <c r="N57" s="1"/>
      <c r="O57" s="48" t="s">
        <v>269</v>
      </c>
      <c r="P57" s="48"/>
      <c r="Q57" s="48"/>
      <c r="R57" s="48"/>
      <c r="S57" s="48"/>
      <c r="T57" s="48"/>
      <c r="U57" s="48"/>
      <c r="V57" s="48"/>
      <c r="W57" s="48"/>
      <c r="X57" s="49"/>
      <c r="Y57" s="49"/>
    </row>
    <row r="58" spans="1:25" ht="69" customHeight="1" x14ac:dyDescent="0.2">
      <c r="A58" s="35">
        <v>5</v>
      </c>
      <c r="B58" s="36" t="s">
        <v>369</v>
      </c>
      <c r="C58" s="1" t="s">
        <v>370</v>
      </c>
      <c r="D58" s="1"/>
      <c r="E58" s="1"/>
      <c r="F58" s="1"/>
      <c r="G58" s="1" t="s">
        <v>63</v>
      </c>
      <c r="H58" s="1"/>
      <c r="I58" s="1"/>
      <c r="J58" s="1"/>
      <c r="K58" s="1" t="s">
        <v>65</v>
      </c>
      <c r="L58" s="1"/>
      <c r="M58" s="1"/>
      <c r="N58" s="1"/>
      <c r="O58" s="48" t="s">
        <v>269</v>
      </c>
      <c r="P58" s="48"/>
      <c r="Q58" s="48"/>
      <c r="R58" s="48"/>
      <c r="S58" s="48"/>
      <c r="T58" s="48"/>
      <c r="U58" s="48"/>
      <c r="V58" s="48"/>
      <c r="W58" s="48"/>
      <c r="X58" s="49"/>
      <c r="Y58" s="49"/>
    </row>
    <row r="59" spans="1:25" ht="48" customHeight="1" x14ac:dyDescent="0.2">
      <c r="A59" s="35">
        <v>6</v>
      </c>
      <c r="B59" s="36" t="s">
        <v>371</v>
      </c>
      <c r="C59" s="1" t="s">
        <v>372</v>
      </c>
      <c r="D59" s="1"/>
      <c r="E59" s="1"/>
      <c r="F59" s="1"/>
      <c r="G59" s="1" t="s">
        <v>324</v>
      </c>
      <c r="H59" s="1"/>
      <c r="I59" s="1"/>
      <c r="J59" s="1"/>
      <c r="K59" s="1" t="s">
        <v>325</v>
      </c>
      <c r="L59" s="1"/>
      <c r="M59" s="1"/>
      <c r="N59" s="1"/>
      <c r="O59" s="48" t="s">
        <v>283</v>
      </c>
      <c r="P59" s="48"/>
      <c r="Q59" s="48"/>
      <c r="R59" s="48"/>
      <c r="S59" s="48"/>
      <c r="T59" s="48"/>
      <c r="U59" s="48"/>
      <c r="V59" s="48"/>
      <c r="W59" s="48"/>
      <c r="X59" s="49"/>
      <c r="Y59" s="49"/>
    </row>
    <row r="60" spans="1:25" ht="48" customHeight="1" x14ac:dyDescent="0.2">
      <c r="A60" s="35">
        <v>7</v>
      </c>
      <c r="B60" s="36" t="s">
        <v>373</v>
      </c>
      <c r="C60" s="1" t="s">
        <v>374</v>
      </c>
      <c r="D60" s="1"/>
      <c r="E60" s="1"/>
      <c r="F60" s="1"/>
      <c r="G60" s="1" t="s">
        <v>93</v>
      </c>
      <c r="H60" s="1"/>
      <c r="I60" s="1"/>
      <c r="J60" s="1"/>
      <c r="K60" s="1" t="s">
        <v>95</v>
      </c>
      <c r="L60" s="1"/>
      <c r="M60" s="1"/>
      <c r="N60" s="1"/>
      <c r="O60" s="48" t="s">
        <v>269</v>
      </c>
      <c r="P60" s="48"/>
      <c r="Q60" s="48"/>
      <c r="R60" s="48"/>
      <c r="S60" s="48"/>
      <c r="T60" s="48"/>
      <c r="U60" s="48"/>
      <c r="V60" s="48"/>
      <c r="W60" s="48"/>
      <c r="X60" s="49" t="s">
        <v>623</v>
      </c>
      <c r="Y60" s="49"/>
    </row>
    <row r="61" spans="1:25" ht="48" customHeight="1" x14ac:dyDescent="0.2">
      <c r="A61" s="35">
        <v>8</v>
      </c>
      <c r="B61" s="36" t="s">
        <v>284</v>
      </c>
      <c r="C61" s="1" t="s">
        <v>375</v>
      </c>
      <c r="D61" s="1"/>
      <c r="E61" s="1"/>
      <c r="F61" s="1"/>
      <c r="G61" s="1" t="s">
        <v>52</v>
      </c>
      <c r="H61" s="1"/>
      <c r="I61" s="1"/>
      <c r="J61" s="1"/>
      <c r="K61" s="1" t="s">
        <v>617</v>
      </c>
      <c r="L61" s="1"/>
      <c r="M61" s="1"/>
      <c r="N61" s="1"/>
      <c r="O61" s="48" t="s">
        <v>269</v>
      </c>
      <c r="P61" s="48"/>
      <c r="Q61" s="48"/>
      <c r="R61" s="48"/>
      <c r="S61" s="48"/>
      <c r="T61" s="48"/>
      <c r="U61" s="48"/>
      <c r="V61" s="48"/>
      <c r="W61" s="48"/>
      <c r="X61" s="49" t="s">
        <v>618</v>
      </c>
      <c r="Y61" s="49"/>
    </row>
    <row r="62" spans="1:25" ht="24" customHeight="1" x14ac:dyDescent="0.2"/>
    <row r="63" spans="1:25" ht="54" customHeight="1" x14ac:dyDescent="0.2">
      <c r="A63" s="37">
        <f>'Invetario de Tablas'!A10</f>
        <v>7</v>
      </c>
      <c r="B63" s="44" t="s">
        <v>177</v>
      </c>
      <c r="C63" s="6" t="str">
        <f>'Invetario de Tablas'!B10</f>
        <v>comentario</v>
      </c>
      <c r="D63" s="6"/>
      <c r="E63" s="6"/>
      <c r="F63" s="6"/>
      <c r="G63" s="62" t="s">
        <v>178</v>
      </c>
      <c r="H63" s="62"/>
      <c r="I63" s="62"/>
      <c r="J63" s="62"/>
      <c r="K63" s="4" t="str">
        <f>'Invetario de Tablas'!C10</f>
        <v>Comentarios realizados sobre las publicaciones de otros usuarios.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5" t="s">
        <v>255</v>
      </c>
      <c r="Y63" s="32" t="s">
        <v>610</v>
      </c>
    </row>
    <row r="64" spans="1:25" ht="45" customHeight="1" x14ac:dyDescent="0.2">
      <c r="A64" s="46" t="s">
        <v>1</v>
      </c>
      <c r="B64" s="47" t="s">
        <v>257</v>
      </c>
      <c r="C64" s="63" t="s">
        <v>258</v>
      </c>
      <c r="D64" s="63"/>
      <c r="E64" s="63"/>
      <c r="F64" s="63"/>
      <c r="G64" s="63" t="s">
        <v>611</v>
      </c>
      <c r="H64" s="63"/>
      <c r="I64" s="63"/>
      <c r="J64" s="63"/>
      <c r="K64" s="63" t="s">
        <v>260</v>
      </c>
      <c r="L64" s="63"/>
      <c r="M64" s="63"/>
      <c r="N64" s="63"/>
      <c r="O64" s="63" t="s">
        <v>261</v>
      </c>
      <c r="P64" s="63"/>
      <c r="Q64" s="63"/>
      <c r="R64" s="63" t="s">
        <v>262</v>
      </c>
      <c r="S64" s="63"/>
      <c r="T64" s="63" t="s">
        <v>263</v>
      </c>
      <c r="U64" s="63"/>
      <c r="V64" s="63" t="s">
        <v>264</v>
      </c>
      <c r="W64" s="63"/>
      <c r="X64" s="64" t="s">
        <v>265</v>
      </c>
      <c r="Y64" s="64"/>
    </row>
    <row r="65" spans="1:25" ht="48" customHeight="1" x14ac:dyDescent="0.2">
      <c r="A65" s="35">
        <v>1</v>
      </c>
      <c r="B65" s="36" t="s">
        <v>362</v>
      </c>
      <c r="C65" s="1" t="s">
        <v>376</v>
      </c>
      <c r="D65" s="1"/>
      <c r="E65" s="1"/>
      <c r="F65" s="1"/>
      <c r="G65" s="1" t="s">
        <v>334</v>
      </c>
      <c r="H65" s="1"/>
      <c r="I65" s="1"/>
      <c r="J65" s="1"/>
      <c r="K65" s="1" t="s">
        <v>89</v>
      </c>
      <c r="L65" s="1"/>
      <c r="M65" s="1"/>
      <c r="N65" s="1"/>
      <c r="O65" s="48" t="s">
        <v>269</v>
      </c>
      <c r="P65" s="48"/>
      <c r="Q65" s="48"/>
      <c r="R65" s="48" t="s">
        <v>270</v>
      </c>
      <c r="S65" s="48"/>
      <c r="T65" s="48" t="s">
        <v>270</v>
      </c>
      <c r="U65" s="48"/>
      <c r="V65" s="48"/>
      <c r="W65" s="48"/>
      <c r="X65" s="49" t="s">
        <v>377</v>
      </c>
      <c r="Y65" s="49"/>
    </row>
    <row r="66" spans="1:25" ht="69" customHeight="1" x14ac:dyDescent="0.2">
      <c r="A66" s="35">
        <v>2</v>
      </c>
      <c r="B66" s="36" t="s">
        <v>378</v>
      </c>
      <c r="C66" s="1" t="s">
        <v>379</v>
      </c>
      <c r="D66" s="1"/>
      <c r="E66" s="1"/>
      <c r="F66" s="1"/>
      <c r="G66" s="1" t="s">
        <v>598</v>
      </c>
      <c r="H66" s="1"/>
      <c r="I66" s="1"/>
      <c r="J66" s="1"/>
      <c r="K66" s="1" t="s">
        <v>80</v>
      </c>
      <c r="L66" s="1"/>
      <c r="M66" s="1"/>
      <c r="N66" s="1"/>
      <c r="O66" s="48" t="s">
        <v>269</v>
      </c>
      <c r="P66" s="48"/>
      <c r="Q66" s="48"/>
      <c r="R66" s="48" t="s">
        <v>270</v>
      </c>
      <c r="S66" s="48"/>
      <c r="T66" s="48"/>
      <c r="U66" s="48"/>
      <c r="V66" s="48"/>
      <c r="W66" s="48"/>
      <c r="X66" s="49" t="s">
        <v>380</v>
      </c>
      <c r="Y66" s="49"/>
    </row>
    <row r="67" spans="1:25" ht="30" customHeight="1" x14ac:dyDescent="0.2">
      <c r="A67" s="35">
        <v>3</v>
      </c>
      <c r="B67" s="36" t="s">
        <v>297</v>
      </c>
      <c r="C67" s="1" t="s">
        <v>381</v>
      </c>
      <c r="D67" s="1"/>
      <c r="E67" s="1"/>
      <c r="F67" s="1"/>
      <c r="G67" s="1" t="s">
        <v>334</v>
      </c>
      <c r="H67" s="1"/>
      <c r="I67" s="1"/>
      <c r="J67" s="1"/>
      <c r="K67" s="1" t="s">
        <v>89</v>
      </c>
      <c r="L67" s="1"/>
      <c r="M67" s="1"/>
      <c r="N67" s="1"/>
      <c r="O67" s="48" t="s">
        <v>269</v>
      </c>
      <c r="P67" s="48"/>
      <c r="Q67" s="48"/>
      <c r="R67" s="48"/>
      <c r="S67" s="48"/>
      <c r="T67" s="48" t="s">
        <v>270</v>
      </c>
      <c r="U67" s="48"/>
      <c r="V67" s="48"/>
      <c r="W67" s="48"/>
      <c r="X67" s="49" t="s">
        <v>335</v>
      </c>
      <c r="Y67" s="49"/>
    </row>
    <row r="68" spans="1:25" ht="69" customHeight="1" x14ac:dyDescent="0.2">
      <c r="A68" s="35">
        <v>4</v>
      </c>
      <c r="B68" s="36" t="s">
        <v>382</v>
      </c>
      <c r="C68" s="1" t="s">
        <v>383</v>
      </c>
      <c r="D68" s="1"/>
      <c r="E68" s="1"/>
      <c r="F68" s="1"/>
      <c r="G68" s="1" t="s">
        <v>63</v>
      </c>
      <c r="H68" s="1"/>
      <c r="I68" s="1"/>
      <c r="J68" s="1"/>
      <c r="K68" s="1" t="s">
        <v>65</v>
      </c>
      <c r="L68" s="1"/>
      <c r="M68" s="1"/>
      <c r="N68" s="1"/>
      <c r="O68" s="48" t="s">
        <v>269</v>
      </c>
      <c r="P68" s="48"/>
      <c r="Q68" s="48"/>
      <c r="R68" s="48"/>
      <c r="S68" s="48"/>
      <c r="T68" s="48"/>
      <c r="U68" s="48"/>
      <c r="V68" s="48"/>
      <c r="W68" s="48"/>
      <c r="X68" s="49"/>
      <c r="Y68" s="49"/>
    </row>
    <row r="69" spans="1:25" ht="48" customHeight="1" x14ac:dyDescent="0.2">
      <c r="A69" s="35">
        <v>5</v>
      </c>
      <c r="B69" s="36" t="s">
        <v>384</v>
      </c>
      <c r="C69" s="1" t="s">
        <v>385</v>
      </c>
      <c r="D69" s="1"/>
      <c r="E69" s="1"/>
      <c r="F69" s="1"/>
      <c r="G69" s="1" t="s">
        <v>93</v>
      </c>
      <c r="H69" s="1"/>
      <c r="I69" s="1"/>
      <c r="J69" s="1"/>
      <c r="K69" s="1" t="s">
        <v>95</v>
      </c>
      <c r="L69" s="1"/>
      <c r="M69" s="1"/>
      <c r="N69" s="1"/>
      <c r="O69" s="48" t="s">
        <v>269</v>
      </c>
      <c r="P69" s="48"/>
      <c r="Q69" s="48"/>
      <c r="R69" s="48"/>
      <c r="S69" s="48"/>
      <c r="T69" s="48"/>
      <c r="U69" s="48"/>
      <c r="V69" s="48"/>
      <c r="W69" s="48"/>
      <c r="X69" s="49" t="s">
        <v>623</v>
      </c>
      <c r="Y69" s="49"/>
    </row>
    <row r="70" spans="1:25" ht="24" customHeight="1" x14ac:dyDescent="0.2"/>
    <row r="71" spans="1:25" ht="54" customHeight="1" x14ac:dyDescent="0.2">
      <c r="A71" s="37">
        <f>'Invetario de Tablas'!A11</f>
        <v>8</v>
      </c>
      <c r="B71" s="44" t="s">
        <v>177</v>
      </c>
      <c r="C71" s="6" t="str">
        <f>'Invetario de Tablas'!B11</f>
        <v>tipo_reaccion</v>
      </c>
      <c r="D71" s="6"/>
      <c r="E71" s="6"/>
      <c r="F71" s="6"/>
      <c r="G71" s="62" t="s">
        <v>178</v>
      </c>
      <c r="H71" s="62"/>
      <c r="I71" s="62"/>
      <c r="J71" s="62"/>
      <c r="K71" s="4" t="str">
        <f>'Invetario de Tablas'!C11</f>
        <v>Catálogo de tipos de reacción (me gusta, me encanta, útil, interesante).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5" t="s">
        <v>255</v>
      </c>
      <c r="Y71" s="32" t="s">
        <v>610</v>
      </c>
    </row>
    <row r="72" spans="1:25" ht="45" customHeight="1" x14ac:dyDescent="0.2">
      <c r="A72" s="46" t="s">
        <v>1</v>
      </c>
      <c r="B72" s="47" t="s">
        <v>257</v>
      </c>
      <c r="C72" s="63" t="s">
        <v>258</v>
      </c>
      <c r="D72" s="63"/>
      <c r="E72" s="63"/>
      <c r="F72" s="63"/>
      <c r="G72" s="63" t="s">
        <v>611</v>
      </c>
      <c r="H72" s="63"/>
      <c r="I72" s="63"/>
      <c r="J72" s="63"/>
      <c r="K72" s="63" t="s">
        <v>260</v>
      </c>
      <c r="L72" s="63"/>
      <c r="M72" s="63"/>
      <c r="N72" s="63"/>
      <c r="O72" s="63" t="s">
        <v>261</v>
      </c>
      <c r="P72" s="63"/>
      <c r="Q72" s="63"/>
      <c r="R72" s="63" t="s">
        <v>262</v>
      </c>
      <c r="S72" s="63"/>
      <c r="T72" s="63" t="s">
        <v>263</v>
      </c>
      <c r="U72" s="63"/>
      <c r="V72" s="63" t="s">
        <v>264</v>
      </c>
      <c r="W72" s="63"/>
      <c r="X72" s="64" t="s">
        <v>265</v>
      </c>
      <c r="Y72" s="64"/>
    </row>
    <row r="73" spans="1:25" ht="48" customHeight="1" x14ac:dyDescent="0.2">
      <c r="A73" s="35">
        <v>1</v>
      </c>
      <c r="B73" s="36" t="s">
        <v>386</v>
      </c>
      <c r="C73" s="1" t="s">
        <v>387</v>
      </c>
      <c r="D73" s="1"/>
      <c r="E73" s="1"/>
      <c r="F73" s="1"/>
      <c r="G73" s="1" t="s">
        <v>612</v>
      </c>
      <c r="H73" s="1"/>
      <c r="I73" s="1"/>
      <c r="J73" s="1"/>
      <c r="K73" s="1" t="s">
        <v>80</v>
      </c>
      <c r="L73" s="1"/>
      <c r="M73" s="1"/>
      <c r="N73" s="1"/>
      <c r="O73" s="48" t="s">
        <v>269</v>
      </c>
      <c r="P73" s="48"/>
      <c r="Q73" s="48"/>
      <c r="R73" s="48" t="s">
        <v>270</v>
      </c>
      <c r="S73" s="48"/>
      <c r="T73" s="48"/>
      <c r="U73" s="48"/>
      <c r="V73" s="48"/>
      <c r="W73" s="48"/>
      <c r="X73" s="49" t="s">
        <v>637</v>
      </c>
      <c r="Y73" s="49"/>
    </row>
    <row r="74" spans="1:25" ht="48" customHeight="1" x14ac:dyDescent="0.2">
      <c r="A74" s="35">
        <v>2</v>
      </c>
      <c r="B74" s="36" t="s">
        <v>388</v>
      </c>
      <c r="C74" s="1" t="s">
        <v>389</v>
      </c>
      <c r="D74" s="1"/>
      <c r="E74" s="1"/>
      <c r="F74" s="1"/>
      <c r="G74" s="1" t="s">
        <v>627</v>
      </c>
      <c r="H74" s="1"/>
      <c r="I74" s="1"/>
      <c r="J74" s="1"/>
      <c r="K74" s="1" t="s">
        <v>628</v>
      </c>
      <c r="L74" s="1"/>
      <c r="M74" s="1"/>
      <c r="N74" s="1"/>
      <c r="O74" s="48" t="s">
        <v>269</v>
      </c>
      <c r="P74" s="48"/>
      <c r="Q74" s="48"/>
      <c r="R74" s="48"/>
      <c r="S74" s="48"/>
      <c r="T74" s="48"/>
      <c r="U74" s="48"/>
      <c r="V74" s="48" t="s">
        <v>270</v>
      </c>
      <c r="W74" s="48"/>
      <c r="X74" s="49"/>
      <c r="Y74" s="49"/>
    </row>
    <row r="75" spans="1:25" ht="69" customHeight="1" x14ac:dyDescent="0.2">
      <c r="A75" s="35">
        <v>3</v>
      </c>
      <c r="B75" s="36" t="s">
        <v>390</v>
      </c>
      <c r="C75" s="1" t="s">
        <v>391</v>
      </c>
      <c r="D75" s="1"/>
      <c r="E75" s="1"/>
      <c r="F75" s="1"/>
      <c r="G75" s="1" t="s">
        <v>615</v>
      </c>
      <c r="H75" s="1"/>
      <c r="I75" s="1"/>
      <c r="J75" s="1"/>
      <c r="K75" s="1" t="s">
        <v>616</v>
      </c>
      <c r="L75" s="1"/>
      <c r="M75" s="1"/>
      <c r="N75" s="1"/>
      <c r="O75" s="48" t="s">
        <v>283</v>
      </c>
      <c r="P75" s="48"/>
      <c r="Q75" s="48"/>
      <c r="R75" s="48"/>
      <c r="S75" s="48"/>
      <c r="T75" s="48"/>
      <c r="U75" s="48"/>
      <c r="V75" s="48"/>
      <c r="W75" s="48"/>
      <c r="X75" s="49"/>
      <c r="Y75" s="49"/>
    </row>
    <row r="76" spans="1:25" ht="48" customHeight="1" x14ac:dyDescent="0.2">
      <c r="A76" s="35">
        <v>4</v>
      </c>
      <c r="B76" s="36" t="s">
        <v>284</v>
      </c>
      <c r="C76" s="1" t="s">
        <v>361</v>
      </c>
      <c r="D76" s="1"/>
      <c r="E76" s="1"/>
      <c r="F76" s="1"/>
      <c r="G76" s="1" t="s">
        <v>52</v>
      </c>
      <c r="H76" s="1"/>
      <c r="I76" s="1"/>
      <c r="J76" s="1"/>
      <c r="K76" s="1" t="s">
        <v>617</v>
      </c>
      <c r="L76" s="1"/>
      <c r="M76" s="1"/>
      <c r="N76" s="1"/>
      <c r="O76" s="48" t="s">
        <v>269</v>
      </c>
      <c r="P76" s="48"/>
      <c r="Q76" s="48"/>
      <c r="R76" s="48"/>
      <c r="S76" s="48"/>
      <c r="T76" s="48"/>
      <c r="U76" s="48"/>
      <c r="V76" s="48"/>
      <c r="W76" s="48"/>
      <c r="X76" s="49" t="s">
        <v>618</v>
      </c>
      <c r="Y76" s="49"/>
    </row>
    <row r="77" spans="1:25" ht="48" customHeight="1" x14ac:dyDescent="0.2">
      <c r="A77" s="35">
        <v>5</v>
      </c>
      <c r="B77" s="36" t="s">
        <v>392</v>
      </c>
      <c r="C77" s="1" t="s">
        <v>393</v>
      </c>
      <c r="D77" s="1"/>
      <c r="E77" s="1"/>
      <c r="F77" s="1"/>
      <c r="G77" s="1" t="s">
        <v>310</v>
      </c>
      <c r="H77" s="1"/>
      <c r="I77" s="1"/>
      <c r="J77" s="1"/>
      <c r="K77" s="1" t="s">
        <v>311</v>
      </c>
      <c r="L77" s="1"/>
      <c r="M77" s="1"/>
      <c r="N77" s="1"/>
      <c r="O77" s="48" t="s">
        <v>283</v>
      </c>
      <c r="P77" s="48"/>
      <c r="Q77" s="48"/>
      <c r="R77" s="48"/>
      <c r="S77" s="48"/>
      <c r="T77" s="48"/>
      <c r="U77" s="48"/>
      <c r="V77" s="48"/>
      <c r="W77" s="48"/>
      <c r="X77" s="49"/>
      <c r="Y77" s="49"/>
    </row>
    <row r="78" spans="1:25" ht="24" customHeight="1" x14ac:dyDescent="0.2"/>
    <row r="79" spans="1:25" ht="54" customHeight="1" x14ac:dyDescent="0.2">
      <c r="A79" s="37">
        <f>'Invetario de Tablas'!A12</f>
        <v>9</v>
      </c>
      <c r="B79" s="44" t="s">
        <v>177</v>
      </c>
      <c r="C79" s="6" t="str">
        <f>'Invetario de Tablas'!B12</f>
        <v>reaccion</v>
      </c>
      <c r="D79" s="6"/>
      <c r="E79" s="6"/>
      <c r="F79" s="6"/>
      <c r="G79" s="62" t="s">
        <v>178</v>
      </c>
      <c r="H79" s="62"/>
      <c r="I79" s="62"/>
      <c r="J79" s="62"/>
      <c r="K79" s="4" t="str">
        <f>'Invetario de Tablas'!C12</f>
        <v>Interacciones o reacciones tipo "like" dadas en las publicaciones.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5" t="s">
        <v>255</v>
      </c>
      <c r="Y79" s="32" t="s">
        <v>610</v>
      </c>
    </row>
    <row r="80" spans="1:25" ht="45" customHeight="1" x14ac:dyDescent="0.2">
      <c r="A80" s="46" t="s">
        <v>1</v>
      </c>
      <c r="B80" s="47" t="s">
        <v>257</v>
      </c>
      <c r="C80" s="63" t="s">
        <v>258</v>
      </c>
      <c r="D80" s="63"/>
      <c r="E80" s="63"/>
      <c r="F80" s="63"/>
      <c r="G80" s="63" t="s">
        <v>611</v>
      </c>
      <c r="H80" s="63"/>
      <c r="I80" s="63"/>
      <c r="J80" s="63"/>
      <c r="K80" s="63" t="s">
        <v>260</v>
      </c>
      <c r="L80" s="63"/>
      <c r="M80" s="63"/>
      <c r="N80" s="63"/>
      <c r="O80" s="63" t="s">
        <v>261</v>
      </c>
      <c r="P80" s="63"/>
      <c r="Q80" s="63"/>
      <c r="R80" s="63" t="s">
        <v>262</v>
      </c>
      <c r="S80" s="63"/>
      <c r="T80" s="63" t="s">
        <v>263</v>
      </c>
      <c r="U80" s="63"/>
      <c r="V80" s="63" t="s">
        <v>264</v>
      </c>
      <c r="W80" s="63"/>
      <c r="X80" s="64" t="s">
        <v>265</v>
      </c>
      <c r="Y80" s="64"/>
    </row>
    <row r="81" spans="1:25" ht="48" customHeight="1" x14ac:dyDescent="0.2">
      <c r="A81" s="35">
        <v>1</v>
      </c>
      <c r="B81" s="36" t="s">
        <v>362</v>
      </c>
      <c r="C81" s="1" t="s">
        <v>394</v>
      </c>
      <c r="D81" s="1"/>
      <c r="E81" s="1"/>
      <c r="F81" s="1"/>
      <c r="G81" s="1" t="s">
        <v>334</v>
      </c>
      <c r="H81" s="1"/>
      <c r="I81" s="1"/>
      <c r="J81" s="1"/>
      <c r="K81" s="1" t="s">
        <v>89</v>
      </c>
      <c r="L81" s="1"/>
      <c r="M81" s="1"/>
      <c r="N81" s="1"/>
      <c r="O81" s="48" t="s">
        <v>269</v>
      </c>
      <c r="P81" s="48"/>
      <c r="Q81" s="48"/>
      <c r="R81" s="48" t="s">
        <v>270</v>
      </c>
      <c r="S81" s="48"/>
      <c r="T81" s="48" t="s">
        <v>270</v>
      </c>
      <c r="U81" s="48"/>
      <c r="V81" s="48"/>
      <c r="W81" s="48"/>
      <c r="X81" s="49" t="s">
        <v>377</v>
      </c>
      <c r="Y81" s="49"/>
    </row>
    <row r="82" spans="1:25" ht="69" customHeight="1" x14ac:dyDescent="0.2">
      <c r="A82" s="35">
        <v>2</v>
      </c>
      <c r="B82" s="36" t="s">
        <v>297</v>
      </c>
      <c r="C82" s="1" t="s">
        <v>395</v>
      </c>
      <c r="D82" s="1"/>
      <c r="E82" s="1"/>
      <c r="F82" s="1"/>
      <c r="G82" s="1" t="s">
        <v>334</v>
      </c>
      <c r="H82" s="1"/>
      <c r="I82" s="1"/>
      <c r="J82" s="1"/>
      <c r="K82" s="1" t="s">
        <v>89</v>
      </c>
      <c r="L82" s="1"/>
      <c r="M82" s="1"/>
      <c r="N82" s="1"/>
      <c r="O82" s="48" t="s">
        <v>269</v>
      </c>
      <c r="P82" s="48"/>
      <c r="Q82" s="48"/>
      <c r="R82" s="48" t="s">
        <v>270</v>
      </c>
      <c r="S82" s="48"/>
      <c r="T82" s="48" t="s">
        <v>270</v>
      </c>
      <c r="U82" s="48"/>
      <c r="V82" s="48"/>
      <c r="W82" s="48"/>
      <c r="X82" s="49" t="s">
        <v>396</v>
      </c>
      <c r="Y82" s="49"/>
    </row>
    <row r="83" spans="1:25" ht="48" customHeight="1" x14ac:dyDescent="0.2">
      <c r="A83" s="35">
        <v>3</v>
      </c>
      <c r="B83" s="36" t="s">
        <v>386</v>
      </c>
      <c r="C83" s="1" t="s">
        <v>397</v>
      </c>
      <c r="D83" s="1"/>
      <c r="E83" s="1"/>
      <c r="F83" s="1"/>
      <c r="G83" s="1" t="s">
        <v>598</v>
      </c>
      <c r="H83" s="1"/>
      <c r="I83" s="1"/>
      <c r="J83" s="1"/>
      <c r="K83" s="1" t="s">
        <v>80</v>
      </c>
      <c r="L83" s="1"/>
      <c r="M83" s="1"/>
      <c r="N83" s="1"/>
      <c r="O83" s="48" t="s">
        <v>269</v>
      </c>
      <c r="P83" s="48"/>
      <c r="Q83" s="48"/>
      <c r="R83" s="48"/>
      <c r="S83" s="48"/>
      <c r="T83" s="48" t="s">
        <v>270</v>
      </c>
      <c r="U83" s="48"/>
      <c r="V83" s="48"/>
      <c r="W83" s="48"/>
      <c r="X83" s="49" t="s">
        <v>398</v>
      </c>
      <c r="Y83" s="49"/>
    </row>
    <row r="84" spans="1:25" ht="48" customHeight="1" x14ac:dyDescent="0.2">
      <c r="A84" s="35">
        <v>4</v>
      </c>
      <c r="B84" s="36" t="s">
        <v>399</v>
      </c>
      <c r="C84" s="1" t="s">
        <v>400</v>
      </c>
      <c r="D84" s="1"/>
      <c r="E84" s="1"/>
      <c r="F84" s="1"/>
      <c r="G84" s="1" t="s">
        <v>93</v>
      </c>
      <c r="H84" s="1"/>
      <c r="I84" s="1"/>
      <c r="J84" s="1"/>
      <c r="K84" s="1" t="s">
        <v>95</v>
      </c>
      <c r="L84" s="1"/>
      <c r="M84" s="1"/>
      <c r="N84" s="1"/>
      <c r="O84" s="48" t="s">
        <v>269</v>
      </c>
      <c r="P84" s="48"/>
      <c r="Q84" s="48"/>
      <c r="R84" s="48"/>
      <c r="S84" s="48"/>
      <c r="T84" s="48"/>
      <c r="U84" s="48"/>
      <c r="V84" s="48"/>
      <c r="W84" s="48"/>
      <c r="X84" s="49" t="s">
        <v>623</v>
      </c>
      <c r="Y84" s="49"/>
    </row>
    <row r="85" spans="1:25" ht="24" customHeight="1" x14ac:dyDescent="0.2"/>
    <row r="86" spans="1:25" ht="54" customHeight="1" x14ac:dyDescent="0.2">
      <c r="A86" s="37">
        <f>'Invetario de Tablas'!A13</f>
        <v>10</v>
      </c>
      <c r="B86" s="44" t="s">
        <v>177</v>
      </c>
      <c r="C86" s="6" t="str">
        <f>'Invetario de Tablas'!B13</f>
        <v>multimedia</v>
      </c>
      <c r="D86" s="6"/>
      <c r="E86" s="6"/>
      <c r="F86" s="6"/>
      <c r="G86" s="62" t="s">
        <v>178</v>
      </c>
      <c r="H86" s="62"/>
      <c r="I86" s="62"/>
      <c r="J86" s="62"/>
      <c r="K86" s="4" t="str">
        <f>'Invetario de Tablas'!C13</f>
        <v>Archivos (imágenes/documentos/videos) adjuntos a una publicación.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5" t="s">
        <v>255</v>
      </c>
      <c r="Y86" s="32" t="s">
        <v>610</v>
      </c>
    </row>
    <row r="87" spans="1:25" ht="45" customHeight="1" x14ac:dyDescent="0.2">
      <c r="A87" s="46" t="s">
        <v>1</v>
      </c>
      <c r="B87" s="47" t="s">
        <v>257</v>
      </c>
      <c r="C87" s="63" t="s">
        <v>258</v>
      </c>
      <c r="D87" s="63"/>
      <c r="E87" s="63"/>
      <c r="F87" s="63"/>
      <c r="G87" s="63" t="s">
        <v>611</v>
      </c>
      <c r="H87" s="63"/>
      <c r="I87" s="63"/>
      <c r="J87" s="63"/>
      <c r="K87" s="63" t="s">
        <v>260</v>
      </c>
      <c r="L87" s="63"/>
      <c r="M87" s="63"/>
      <c r="N87" s="63"/>
      <c r="O87" s="63" t="s">
        <v>261</v>
      </c>
      <c r="P87" s="63"/>
      <c r="Q87" s="63"/>
      <c r="R87" s="63" t="s">
        <v>262</v>
      </c>
      <c r="S87" s="63"/>
      <c r="T87" s="63" t="s">
        <v>263</v>
      </c>
      <c r="U87" s="63"/>
      <c r="V87" s="63" t="s">
        <v>264</v>
      </c>
      <c r="W87" s="63"/>
      <c r="X87" s="64" t="s">
        <v>265</v>
      </c>
      <c r="Y87" s="64"/>
    </row>
    <row r="88" spans="1:25" ht="48" customHeight="1" x14ac:dyDescent="0.2">
      <c r="A88" s="35">
        <v>1</v>
      </c>
      <c r="B88" s="36" t="s">
        <v>362</v>
      </c>
      <c r="C88" s="1" t="s">
        <v>401</v>
      </c>
      <c r="D88" s="1"/>
      <c r="E88" s="1"/>
      <c r="F88" s="1"/>
      <c r="G88" s="1" t="s">
        <v>334</v>
      </c>
      <c r="H88" s="1"/>
      <c r="I88" s="1"/>
      <c r="J88" s="1"/>
      <c r="K88" s="1" t="s">
        <v>89</v>
      </c>
      <c r="L88" s="1"/>
      <c r="M88" s="1"/>
      <c r="N88" s="1"/>
      <c r="O88" s="48" t="s">
        <v>269</v>
      </c>
      <c r="P88" s="48"/>
      <c r="Q88" s="48"/>
      <c r="R88" s="48" t="s">
        <v>270</v>
      </c>
      <c r="S88" s="48"/>
      <c r="T88" s="48" t="s">
        <v>270</v>
      </c>
      <c r="U88" s="48"/>
      <c r="V88" s="48"/>
      <c r="W88" s="48"/>
      <c r="X88" s="49" t="s">
        <v>377</v>
      </c>
      <c r="Y88" s="49"/>
    </row>
    <row r="89" spans="1:25" ht="48" customHeight="1" x14ac:dyDescent="0.2">
      <c r="A89" s="35">
        <v>2</v>
      </c>
      <c r="B89" s="36" t="s">
        <v>402</v>
      </c>
      <c r="C89" s="1" t="s">
        <v>403</v>
      </c>
      <c r="D89" s="1"/>
      <c r="E89" s="1"/>
      <c r="F89" s="1"/>
      <c r="G89" s="1" t="s">
        <v>598</v>
      </c>
      <c r="H89" s="1"/>
      <c r="I89" s="1"/>
      <c r="J89" s="1"/>
      <c r="K89" s="1" t="s">
        <v>80</v>
      </c>
      <c r="L89" s="1"/>
      <c r="M89" s="1"/>
      <c r="N89" s="1"/>
      <c r="O89" s="48" t="s">
        <v>269</v>
      </c>
      <c r="P89" s="48"/>
      <c r="Q89" s="48"/>
      <c r="R89" s="48" t="s">
        <v>270</v>
      </c>
      <c r="S89" s="48"/>
      <c r="T89" s="48"/>
      <c r="U89" s="48"/>
      <c r="V89" s="48"/>
      <c r="W89" s="48"/>
      <c r="X89" s="49" t="s">
        <v>380</v>
      </c>
      <c r="Y89" s="49"/>
    </row>
    <row r="90" spans="1:25" ht="69" customHeight="1" x14ac:dyDescent="0.2">
      <c r="A90" s="35">
        <v>3</v>
      </c>
      <c r="B90" s="36" t="s">
        <v>404</v>
      </c>
      <c r="C90" s="1" t="s">
        <v>405</v>
      </c>
      <c r="D90" s="1"/>
      <c r="E90" s="1"/>
      <c r="F90" s="1"/>
      <c r="G90" s="1" t="s">
        <v>629</v>
      </c>
      <c r="H90" s="1"/>
      <c r="I90" s="1"/>
      <c r="J90" s="1"/>
      <c r="K90" s="1" t="s">
        <v>630</v>
      </c>
      <c r="L90" s="1"/>
      <c r="M90" s="1"/>
      <c r="N90" s="1"/>
      <c r="O90" s="48" t="s">
        <v>269</v>
      </c>
      <c r="P90" s="48"/>
      <c r="Q90" s="48"/>
      <c r="R90" s="48"/>
      <c r="S90" s="48"/>
      <c r="T90" s="48"/>
      <c r="U90" s="48"/>
      <c r="V90" s="48"/>
      <c r="W90" s="48"/>
      <c r="X90" s="49" t="s">
        <v>631</v>
      </c>
      <c r="Y90" s="49"/>
    </row>
    <row r="91" spans="1:25" ht="69" customHeight="1" x14ac:dyDescent="0.2">
      <c r="A91" s="35">
        <v>4</v>
      </c>
      <c r="B91" s="36" t="s">
        <v>408</v>
      </c>
      <c r="C91" s="1" t="s">
        <v>409</v>
      </c>
      <c r="D91" s="1"/>
      <c r="E91" s="1"/>
      <c r="F91" s="1"/>
      <c r="G91" s="1" t="s">
        <v>338</v>
      </c>
      <c r="H91" s="1"/>
      <c r="I91" s="1"/>
      <c r="J91" s="1"/>
      <c r="K91" s="1" t="s">
        <v>339</v>
      </c>
      <c r="L91" s="1"/>
      <c r="M91" s="1"/>
      <c r="N91" s="1"/>
      <c r="O91" s="48" t="s">
        <v>269</v>
      </c>
      <c r="P91" s="48"/>
      <c r="Q91" s="48"/>
      <c r="R91" s="48"/>
      <c r="S91" s="48"/>
      <c r="T91" s="48"/>
      <c r="U91" s="48"/>
      <c r="V91" s="48"/>
      <c r="W91" s="48"/>
      <c r="X91" s="49"/>
      <c r="Y91" s="49"/>
    </row>
    <row r="92" spans="1:25" ht="48" customHeight="1" x14ac:dyDescent="0.2">
      <c r="A92" s="35">
        <v>5</v>
      </c>
      <c r="B92" s="36" t="s">
        <v>410</v>
      </c>
      <c r="C92" s="1" t="s">
        <v>411</v>
      </c>
      <c r="D92" s="1"/>
      <c r="E92" s="1"/>
      <c r="F92" s="1"/>
      <c r="G92" s="1" t="s">
        <v>615</v>
      </c>
      <c r="H92" s="1"/>
      <c r="I92" s="1"/>
      <c r="J92" s="1"/>
      <c r="K92" s="1" t="s">
        <v>616</v>
      </c>
      <c r="L92" s="1"/>
      <c r="M92" s="1"/>
      <c r="N92" s="1"/>
      <c r="O92" s="48" t="s">
        <v>283</v>
      </c>
      <c r="P92" s="48"/>
      <c r="Q92" s="48"/>
      <c r="R92" s="48"/>
      <c r="S92" s="48"/>
      <c r="T92" s="48"/>
      <c r="U92" s="48"/>
      <c r="V92" s="48"/>
      <c r="W92" s="48"/>
      <c r="X92" s="49"/>
      <c r="Y92" s="49"/>
    </row>
    <row r="93" spans="1:25" ht="48" customHeight="1" x14ac:dyDescent="0.2">
      <c r="A93" s="35">
        <v>6</v>
      </c>
      <c r="B93" s="36" t="s">
        <v>412</v>
      </c>
      <c r="C93" s="1" t="s">
        <v>413</v>
      </c>
      <c r="D93" s="1"/>
      <c r="E93" s="1"/>
      <c r="F93" s="1"/>
      <c r="G93" s="1" t="s">
        <v>93</v>
      </c>
      <c r="H93" s="1"/>
      <c r="I93" s="1"/>
      <c r="J93" s="1"/>
      <c r="K93" s="1" t="s">
        <v>95</v>
      </c>
      <c r="L93" s="1"/>
      <c r="M93" s="1"/>
      <c r="N93" s="1"/>
      <c r="O93" s="48" t="s">
        <v>269</v>
      </c>
      <c r="P93" s="48"/>
      <c r="Q93" s="48"/>
      <c r="R93" s="48"/>
      <c r="S93" s="48"/>
      <c r="T93" s="48"/>
      <c r="U93" s="48"/>
      <c r="V93" s="48"/>
      <c r="W93" s="48"/>
      <c r="X93" s="49" t="s">
        <v>623</v>
      </c>
      <c r="Y93" s="49"/>
    </row>
    <row r="94" spans="1:25" ht="24" customHeight="1" x14ac:dyDescent="0.2"/>
    <row r="95" spans="1:25" ht="54" customHeight="1" x14ac:dyDescent="0.2">
      <c r="A95" s="37">
        <f>'Invetario de Tablas'!A14</f>
        <v>11</v>
      </c>
      <c r="B95" s="44" t="s">
        <v>177</v>
      </c>
      <c r="C95" s="6" t="str">
        <f>'Invetario de Tablas'!B14</f>
        <v>tipo_grupo</v>
      </c>
      <c r="D95" s="6"/>
      <c r="E95" s="6"/>
      <c r="F95" s="6"/>
      <c r="G95" s="62" t="s">
        <v>178</v>
      </c>
      <c r="H95" s="62"/>
      <c r="I95" s="62"/>
      <c r="J95" s="62"/>
      <c r="K95" s="4" t="str">
        <f>'Invetario de Tablas'!C14</f>
        <v>Catálogo de tipos de grupo (estudio, hackaton, club de interés).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5" t="s">
        <v>255</v>
      </c>
      <c r="Y95" s="32" t="s">
        <v>610</v>
      </c>
    </row>
    <row r="96" spans="1:25" ht="45" customHeight="1" x14ac:dyDescent="0.2">
      <c r="A96" s="46" t="s">
        <v>1</v>
      </c>
      <c r="B96" s="47" t="s">
        <v>257</v>
      </c>
      <c r="C96" s="63" t="s">
        <v>258</v>
      </c>
      <c r="D96" s="63"/>
      <c r="E96" s="63"/>
      <c r="F96" s="63"/>
      <c r="G96" s="63" t="s">
        <v>611</v>
      </c>
      <c r="H96" s="63"/>
      <c r="I96" s="63"/>
      <c r="J96" s="63"/>
      <c r="K96" s="63" t="s">
        <v>260</v>
      </c>
      <c r="L96" s="63"/>
      <c r="M96" s="63"/>
      <c r="N96" s="63"/>
      <c r="O96" s="63" t="s">
        <v>261</v>
      </c>
      <c r="P96" s="63"/>
      <c r="Q96" s="63"/>
      <c r="R96" s="63" t="s">
        <v>262</v>
      </c>
      <c r="S96" s="63"/>
      <c r="T96" s="63" t="s">
        <v>263</v>
      </c>
      <c r="U96" s="63"/>
      <c r="V96" s="63" t="s">
        <v>264</v>
      </c>
      <c r="W96" s="63"/>
      <c r="X96" s="64" t="s">
        <v>265</v>
      </c>
      <c r="Y96" s="64"/>
    </row>
    <row r="97" spans="1:25" ht="48" customHeight="1" x14ac:dyDescent="0.2">
      <c r="A97" s="35">
        <v>1</v>
      </c>
      <c r="B97" s="36" t="s">
        <v>414</v>
      </c>
      <c r="C97" s="1" t="s">
        <v>415</v>
      </c>
      <c r="D97" s="1"/>
      <c r="E97" s="1"/>
      <c r="F97" s="1"/>
      <c r="G97" s="1" t="s">
        <v>612</v>
      </c>
      <c r="H97" s="1"/>
      <c r="I97" s="1"/>
      <c r="J97" s="1"/>
      <c r="K97" s="1" t="s">
        <v>80</v>
      </c>
      <c r="L97" s="1"/>
      <c r="M97" s="1"/>
      <c r="N97" s="1"/>
      <c r="O97" s="48" t="s">
        <v>269</v>
      </c>
      <c r="P97" s="48"/>
      <c r="Q97" s="48"/>
      <c r="R97" s="48" t="s">
        <v>270</v>
      </c>
      <c r="S97" s="48"/>
      <c r="T97" s="48"/>
      <c r="U97" s="48"/>
      <c r="V97" s="48"/>
      <c r="W97" s="48"/>
      <c r="X97" s="49" t="s">
        <v>637</v>
      </c>
      <c r="Y97" s="49"/>
    </row>
    <row r="98" spans="1:25" ht="48" customHeight="1" x14ac:dyDescent="0.2">
      <c r="A98" s="35">
        <v>2</v>
      </c>
      <c r="B98" s="36" t="s">
        <v>416</v>
      </c>
      <c r="C98" s="1" t="s">
        <v>417</v>
      </c>
      <c r="D98" s="1"/>
      <c r="E98" s="1"/>
      <c r="F98" s="1"/>
      <c r="G98" s="1" t="s">
        <v>627</v>
      </c>
      <c r="H98" s="1"/>
      <c r="I98" s="1"/>
      <c r="J98" s="1"/>
      <c r="K98" s="1" t="s">
        <v>628</v>
      </c>
      <c r="L98" s="1"/>
      <c r="M98" s="1"/>
      <c r="N98" s="1"/>
      <c r="O98" s="48" t="s">
        <v>269</v>
      </c>
      <c r="P98" s="48"/>
      <c r="Q98" s="48"/>
      <c r="R98" s="48"/>
      <c r="S98" s="48"/>
      <c r="T98" s="48"/>
      <c r="U98" s="48"/>
      <c r="V98" s="48" t="s">
        <v>270</v>
      </c>
      <c r="W98" s="48"/>
      <c r="X98" s="49"/>
      <c r="Y98" s="49"/>
    </row>
    <row r="99" spans="1:25" ht="69" customHeight="1" x14ac:dyDescent="0.2">
      <c r="A99" s="35">
        <v>3</v>
      </c>
      <c r="B99" s="36" t="s">
        <v>418</v>
      </c>
      <c r="C99" s="1" t="s">
        <v>419</v>
      </c>
      <c r="D99" s="1"/>
      <c r="E99" s="1"/>
      <c r="F99" s="1"/>
      <c r="G99" s="1" t="s">
        <v>615</v>
      </c>
      <c r="H99" s="1"/>
      <c r="I99" s="1"/>
      <c r="J99" s="1"/>
      <c r="K99" s="1" t="s">
        <v>616</v>
      </c>
      <c r="L99" s="1"/>
      <c r="M99" s="1"/>
      <c r="N99" s="1"/>
      <c r="O99" s="48" t="s">
        <v>283</v>
      </c>
      <c r="P99" s="48"/>
      <c r="Q99" s="48"/>
      <c r="R99" s="48"/>
      <c r="S99" s="48"/>
      <c r="T99" s="48"/>
      <c r="U99" s="48"/>
      <c r="V99" s="48"/>
      <c r="W99" s="48"/>
      <c r="X99" s="49"/>
      <c r="Y99" s="49"/>
    </row>
    <row r="100" spans="1:25" ht="48" customHeight="1" x14ac:dyDescent="0.2">
      <c r="A100" s="35">
        <v>4</v>
      </c>
      <c r="B100" s="36" t="s">
        <v>284</v>
      </c>
      <c r="C100" s="1" t="s">
        <v>361</v>
      </c>
      <c r="D100" s="1"/>
      <c r="E100" s="1"/>
      <c r="F100" s="1"/>
      <c r="G100" s="1" t="s">
        <v>52</v>
      </c>
      <c r="H100" s="1"/>
      <c r="I100" s="1"/>
      <c r="J100" s="1"/>
      <c r="K100" s="1" t="s">
        <v>617</v>
      </c>
      <c r="L100" s="1"/>
      <c r="M100" s="1"/>
      <c r="N100" s="1"/>
      <c r="O100" s="48" t="s">
        <v>269</v>
      </c>
      <c r="P100" s="48"/>
      <c r="Q100" s="48"/>
      <c r="R100" s="48"/>
      <c r="S100" s="48"/>
      <c r="T100" s="48"/>
      <c r="U100" s="48"/>
      <c r="V100" s="48"/>
      <c r="W100" s="48"/>
      <c r="X100" s="49" t="s">
        <v>618</v>
      </c>
      <c r="Y100" s="49"/>
    </row>
    <row r="101" spans="1:25" ht="24" customHeight="1" x14ac:dyDescent="0.2"/>
    <row r="102" spans="1:25" ht="54" customHeight="1" x14ac:dyDescent="0.2">
      <c r="A102" s="37">
        <f>'Invetario de Tablas'!A15</f>
        <v>12</v>
      </c>
      <c r="B102" s="44" t="s">
        <v>177</v>
      </c>
      <c r="C102" s="6" t="str">
        <f>'Invetario de Tablas'!B15</f>
        <v>grupo</v>
      </c>
      <c r="D102" s="6"/>
      <c r="E102" s="6"/>
      <c r="F102" s="6"/>
      <c r="G102" s="62" t="s">
        <v>178</v>
      </c>
      <c r="H102" s="62"/>
      <c r="I102" s="62"/>
      <c r="J102" s="62"/>
      <c r="K102" s="4" t="str">
        <f>'Invetario de Tablas'!C15</f>
        <v>Grupos o comunidades creadas dentro de la plataforma.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5" t="s">
        <v>255</v>
      </c>
      <c r="Y102" s="32" t="s">
        <v>610</v>
      </c>
    </row>
    <row r="103" spans="1:25" ht="45" customHeight="1" x14ac:dyDescent="0.2">
      <c r="A103" s="46" t="s">
        <v>1</v>
      </c>
      <c r="B103" s="47" t="s">
        <v>257</v>
      </c>
      <c r="C103" s="63" t="s">
        <v>258</v>
      </c>
      <c r="D103" s="63"/>
      <c r="E103" s="63"/>
      <c r="F103" s="63"/>
      <c r="G103" s="63" t="s">
        <v>611</v>
      </c>
      <c r="H103" s="63"/>
      <c r="I103" s="63"/>
      <c r="J103" s="63"/>
      <c r="K103" s="63" t="s">
        <v>260</v>
      </c>
      <c r="L103" s="63"/>
      <c r="M103" s="63"/>
      <c r="N103" s="63"/>
      <c r="O103" s="63" t="s">
        <v>261</v>
      </c>
      <c r="P103" s="63"/>
      <c r="Q103" s="63"/>
      <c r="R103" s="63" t="s">
        <v>262</v>
      </c>
      <c r="S103" s="63"/>
      <c r="T103" s="63" t="s">
        <v>263</v>
      </c>
      <c r="U103" s="63"/>
      <c r="V103" s="63" t="s">
        <v>264</v>
      </c>
      <c r="W103" s="63"/>
      <c r="X103" s="64" t="s">
        <v>265</v>
      </c>
      <c r="Y103" s="64"/>
    </row>
    <row r="104" spans="1:25" ht="30" customHeight="1" x14ac:dyDescent="0.2">
      <c r="A104" s="35">
        <v>1</v>
      </c>
      <c r="B104" s="36" t="s">
        <v>420</v>
      </c>
      <c r="C104" s="1" t="s">
        <v>421</v>
      </c>
      <c r="D104" s="1"/>
      <c r="E104" s="1"/>
      <c r="F104" s="1"/>
      <c r="G104" s="1" t="s">
        <v>619</v>
      </c>
      <c r="H104" s="1"/>
      <c r="I104" s="1"/>
      <c r="J104" s="1"/>
      <c r="K104" s="1" t="s">
        <v>89</v>
      </c>
      <c r="L104" s="1"/>
      <c r="M104" s="1"/>
      <c r="N104" s="1"/>
      <c r="O104" s="48" t="s">
        <v>269</v>
      </c>
      <c r="P104" s="48"/>
      <c r="Q104" s="48"/>
      <c r="R104" s="48" t="s">
        <v>270</v>
      </c>
      <c r="S104" s="48"/>
      <c r="T104" s="48"/>
      <c r="U104" s="48"/>
      <c r="V104" s="48"/>
      <c r="W104" s="48"/>
      <c r="X104" s="49" t="s">
        <v>637</v>
      </c>
      <c r="Y104" s="49"/>
    </row>
    <row r="105" spans="1:25" ht="48" customHeight="1" x14ac:dyDescent="0.2">
      <c r="A105" s="35">
        <v>2</v>
      </c>
      <c r="B105" s="36" t="s">
        <v>422</v>
      </c>
      <c r="C105" s="1" t="s">
        <v>423</v>
      </c>
      <c r="D105" s="1"/>
      <c r="E105" s="1"/>
      <c r="F105" s="1"/>
      <c r="G105" s="1" t="s">
        <v>334</v>
      </c>
      <c r="H105" s="1"/>
      <c r="I105" s="1"/>
      <c r="J105" s="1"/>
      <c r="K105" s="1" t="s">
        <v>89</v>
      </c>
      <c r="L105" s="1"/>
      <c r="M105" s="1"/>
      <c r="N105" s="1"/>
      <c r="O105" s="48" t="s">
        <v>269</v>
      </c>
      <c r="P105" s="48"/>
      <c r="Q105" s="48"/>
      <c r="R105" s="48"/>
      <c r="S105" s="48"/>
      <c r="T105" s="48" t="s">
        <v>270</v>
      </c>
      <c r="U105" s="48"/>
      <c r="V105" s="48"/>
      <c r="W105" s="48"/>
      <c r="X105" s="49" t="s">
        <v>335</v>
      </c>
      <c r="Y105" s="49"/>
    </row>
    <row r="106" spans="1:25" ht="48" customHeight="1" x14ac:dyDescent="0.2">
      <c r="A106" s="35">
        <v>3</v>
      </c>
      <c r="B106" s="36" t="s">
        <v>414</v>
      </c>
      <c r="C106" s="1" t="s">
        <v>424</v>
      </c>
      <c r="D106" s="1"/>
      <c r="E106" s="1"/>
      <c r="F106" s="1"/>
      <c r="G106" s="1" t="s">
        <v>598</v>
      </c>
      <c r="H106" s="1"/>
      <c r="I106" s="1"/>
      <c r="J106" s="1"/>
      <c r="K106" s="1" t="s">
        <v>80</v>
      </c>
      <c r="L106" s="1"/>
      <c r="M106" s="1"/>
      <c r="N106" s="1"/>
      <c r="O106" s="48" t="s">
        <v>269</v>
      </c>
      <c r="P106" s="48"/>
      <c r="Q106" s="48"/>
      <c r="R106" s="48"/>
      <c r="S106" s="48"/>
      <c r="T106" s="48" t="s">
        <v>270</v>
      </c>
      <c r="U106" s="48"/>
      <c r="V106" s="48"/>
      <c r="W106" s="48"/>
      <c r="X106" s="49" t="s">
        <v>425</v>
      </c>
      <c r="Y106" s="49"/>
    </row>
    <row r="107" spans="1:25" ht="48" customHeight="1" x14ac:dyDescent="0.2">
      <c r="A107" s="35">
        <v>4</v>
      </c>
      <c r="B107" s="36" t="s">
        <v>426</v>
      </c>
      <c r="C107" s="1" t="s">
        <v>427</v>
      </c>
      <c r="D107" s="1"/>
      <c r="E107" s="1"/>
      <c r="F107" s="1"/>
      <c r="G107" s="1" t="s">
        <v>624</v>
      </c>
      <c r="H107" s="1"/>
      <c r="I107" s="1"/>
      <c r="J107" s="1"/>
      <c r="K107" s="1" t="s">
        <v>625</v>
      </c>
      <c r="L107" s="1"/>
      <c r="M107" s="1"/>
      <c r="N107" s="1"/>
      <c r="O107" s="48" t="s">
        <v>269</v>
      </c>
      <c r="P107" s="48"/>
      <c r="Q107" s="48"/>
      <c r="R107" s="48"/>
      <c r="S107" s="48"/>
      <c r="T107" s="48"/>
      <c r="U107" s="48"/>
      <c r="V107" s="48" t="s">
        <v>270</v>
      </c>
      <c r="W107" s="48"/>
      <c r="X107" s="49"/>
      <c r="Y107" s="49"/>
    </row>
    <row r="108" spans="1:25" ht="69" customHeight="1" x14ac:dyDescent="0.2">
      <c r="A108" s="35">
        <v>5</v>
      </c>
      <c r="B108" s="36" t="s">
        <v>428</v>
      </c>
      <c r="C108" s="1" t="s">
        <v>429</v>
      </c>
      <c r="D108" s="1"/>
      <c r="E108" s="1"/>
      <c r="F108" s="1"/>
      <c r="G108" s="1" t="s">
        <v>63</v>
      </c>
      <c r="H108" s="1"/>
      <c r="I108" s="1"/>
      <c r="J108" s="1"/>
      <c r="K108" s="1" t="s">
        <v>65</v>
      </c>
      <c r="L108" s="1"/>
      <c r="M108" s="1"/>
      <c r="N108" s="1"/>
      <c r="O108" s="48" t="s">
        <v>283</v>
      </c>
      <c r="P108" s="48"/>
      <c r="Q108" s="48"/>
      <c r="R108" s="48"/>
      <c r="S108" s="48"/>
      <c r="T108" s="48"/>
      <c r="U108" s="48"/>
      <c r="V108" s="48"/>
      <c r="W108" s="48"/>
      <c r="X108" s="49"/>
      <c r="Y108" s="49"/>
    </row>
    <row r="109" spans="1:25" ht="48" customHeight="1" x14ac:dyDescent="0.2">
      <c r="A109" s="35">
        <v>6</v>
      </c>
      <c r="B109" s="36" t="s">
        <v>430</v>
      </c>
      <c r="C109" s="1" t="s">
        <v>431</v>
      </c>
      <c r="D109" s="1"/>
      <c r="E109" s="1"/>
      <c r="F109" s="1"/>
      <c r="G109" s="1" t="s">
        <v>324</v>
      </c>
      <c r="H109" s="1"/>
      <c r="I109" s="1"/>
      <c r="J109" s="1"/>
      <c r="K109" s="1" t="s">
        <v>325</v>
      </c>
      <c r="L109" s="1"/>
      <c r="M109" s="1"/>
      <c r="N109" s="1"/>
      <c r="O109" s="48" t="s">
        <v>283</v>
      </c>
      <c r="P109" s="48"/>
      <c r="Q109" s="48"/>
      <c r="R109" s="48"/>
      <c r="S109" s="48"/>
      <c r="T109" s="48"/>
      <c r="U109" s="48"/>
      <c r="V109" s="48"/>
      <c r="W109" s="48"/>
      <c r="X109" s="49"/>
      <c r="Y109" s="49"/>
    </row>
    <row r="110" spans="1:25" ht="48" customHeight="1" x14ac:dyDescent="0.2">
      <c r="A110" s="35">
        <v>7</v>
      </c>
      <c r="B110" s="36" t="s">
        <v>432</v>
      </c>
      <c r="C110" s="1" t="s">
        <v>433</v>
      </c>
      <c r="D110" s="1"/>
      <c r="E110" s="1"/>
      <c r="F110" s="1"/>
      <c r="G110" s="1" t="s">
        <v>93</v>
      </c>
      <c r="H110" s="1"/>
      <c r="I110" s="1"/>
      <c r="J110" s="1"/>
      <c r="K110" s="1" t="s">
        <v>95</v>
      </c>
      <c r="L110" s="1"/>
      <c r="M110" s="1"/>
      <c r="N110" s="1"/>
      <c r="O110" s="48" t="s">
        <v>269</v>
      </c>
      <c r="P110" s="48"/>
      <c r="Q110" s="48"/>
      <c r="R110" s="48"/>
      <c r="S110" s="48"/>
      <c r="T110" s="48"/>
      <c r="U110" s="48"/>
      <c r="V110" s="48"/>
      <c r="W110" s="48"/>
      <c r="X110" s="49" t="s">
        <v>623</v>
      </c>
      <c r="Y110" s="49"/>
    </row>
    <row r="111" spans="1:25" ht="48" customHeight="1" x14ac:dyDescent="0.2">
      <c r="A111" s="35">
        <v>8</v>
      </c>
      <c r="B111" s="36" t="s">
        <v>284</v>
      </c>
      <c r="C111" s="1" t="s">
        <v>434</v>
      </c>
      <c r="D111" s="1"/>
      <c r="E111" s="1"/>
      <c r="F111" s="1"/>
      <c r="G111" s="1" t="s">
        <v>52</v>
      </c>
      <c r="H111" s="1"/>
      <c r="I111" s="1"/>
      <c r="J111" s="1"/>
      <c r="K111" s="1" t="s">
        <v>617</v>
      </c>
      <c r="L111" s="1"/>
      <c r="M111" s="1"/>
      <c r="N111" s="1"/>
      <c r="O111" s="48" t="s">
        <v>269</v>
      </c>
      <c r="P111" s="48"/>
      <c r="Q111" s="48"/>
      <c r="R111" s="48"/>
      <c r="S111" s="48"/>
      <c r="T111" s="48"/>
      <c r="U111" s="48"/>
      <c r="V111" s="48"/>
      <c r="W111" s="48"/>
      <c r="X111" s="49" t="s">
        <v>618</v>
      </c>
      <c r="Y111" s="49"/>
    </row>
    <row r="112" spans="1:25" ht="24" customHeight="1" x14ac:dyDescent="0.2"/>
    <row r="113" spans="1:25" ht="54" customHeight="1" x14ac:dyDescent="0.2">
      <c r="A113" s="37">
        <f>'Invetario de Tablas'!A16</f>
        <v>13</v>
      </c>
      <c r="B113" s="44" t="s">
        <v>177</v>
      </c>
      <c r="C113" s="6" t="str">
        <f>'Invetario de Tablas'!B16</f>
        <v>usuario_grupo</v>
      </c>
      <c r="D113" s="6"/>
      <c r="E113" s="6"/>
      <c r="F113" s="6"/>
      <c r="G113" s="62" t="s">
        <v>178</v>
      </c>
      <c r="H113" s="62"/>
      <c r="I113" s="62"/>
      <c r="J113" s="62"/>
      <c r="K113" s="4" t="str">
        <f>'Invetario de Tablas'!C16</f>
        <v>Membresía y vinculación de usuarios a los diferentes grupos.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5" t="s">
        <v>255</v>
      </c>
      <c r="Y113" s="32" t="s">
        <v>610</v>
      </c>
    </row>
    <row r="114" spans="1:25" ht="45" customHeight="1" x14ac:dyDescent="0.2">
      <c r="A114" s="46" t="s">
        <v>1</v>
      </c>
      <c r="B114" s="47" t="s">
        <v>257</v>
      </c>
      <c r="C114" s="63" t="s">
        <v>258</v>
      </c>
      <c r="D114" s="63"/>
      <c r="E114" s="63"/>
      <c r="F114" s="63"/>
      <c r="G114" s="63" t="s">
        <v>611</v>
      </c>
      <c r="H114" s="63"/>
      <c r="I114" s="63"/>
      <c r="J114" s="63"/>
      <c r="K114" s="63" t="s">
        <v>260</v>
      </c>
      <c r="L114" s="63"/>
      <c r="M114" s="63"/>
      <c r="N114" s="63"/>
      <c r="O114" s="63" t="s">
        <v>261</v>
      </c>
      <c r="P114" s="63"/>
      <c r="Q114" s="63"/>
      <c r="R114" s="63" t="s">
        <v>262</v>
      </c>
      <c r="S114" s="63"/>
      <c r="T114" s="63" t="s">
        <v>263</v>
      </c>
      <c r="U114" s="63"/>
      <c r="V114" s="63" t="s">
        <v>264</v>
      </c>
      <c r="W114" s="63"/>
      <c r="X114" s="64" t="s">
        <v>265</v>
      </c>
      <c r="Y114" s="64"/>
    </row>
    <row r="115" spans="1:25" ht="30" customHeight="1" x14ac:dyDescent="0.2">
      <c r="A115" s="35">
        <v>1</v>
      </c>
      <c r="B115" s="36" t="s">
        <v>297</v>
      </c>
      <c r="C115" s="1" t="s">
        <v>435</v>
      </c>
      <c r="D115" s="1"/>
      <c r="E115" s="1"/>
      <c r="F115" s="1"/>
      <c r="G115" s="1" t="s">
        <v>334</v>
      </c>
      <c r="H115" s="1"/>
      <c r="I115" s="1"/>
      <c r="J115" s="1"/>
      <c r="K115" s="1" t="s">
        <v>89</v>
      </c>
      <c r="L115" s="1"/>
      <c r="M115" s="1"/>
      <c r="N115" s="1"/>
      <c r="O115" s="48" t="s">
        <v>269</v>
      </c>
      <c r="P115" s="48"/>
      <c r="Q115" s="48"/>
      <c r="R115" s="48" t="s">
        <v>270</v>
      </c>
      <c r="S115" s="48"/>
      <c r="T115" s="48" t="s">
        <v>270</v>
      </c>
      <c r="U115" s="48"/>
      <c r="V115" s="48"/>
      <c r="W115" s="48"/>
      <c r="X115" s="49" t="s">
        <v>335</v>
      </c>
      <c r="Y115" s="49"/>
    </row>
    <row r="116" spans="1:25" ht="30" customHeight="1" x14ac:dyDescent="0.2">
      <c r="A116" s="35">
        <v>2</v>
      </c>
      <c r="B116" s="36" t="s">
        <v>420</v>
      </c>
      <c r="C116" s="1" t="s">
        <v>436</v>
      </c>
      <c r="D116" s="1"/>
      <c r="E116" s="1"/>
      <c r="F116" s="1"/>
      <c r="G116" s="1" t="s">
        <v>334</v>
      </c>
      <c r="H116" s="1"/>
      <c r="I116" s="1"/>
      <c r="J116" s="1"/>
      <c r="K116" s="1" t="s">
        <v>89</v>
      </c>
      <c r="L116" s="1"/>
      <c r="M116" s="1"/>
      <c r="N116" s="1"/>
      <c r="O116" s="48" t="s">
        <v>269</v>
      </c>
      <c r="P116" s="48"/>
      <c r="Q116" s="48"/>
      <c r="R116" s="48" t="s">
        <v>270</v>
      </c>
      <c r="S116" s="48"/>
      <c r="T116" s="48" t="s">
        <v>270</v>
      </c>
      <c r="U116" s="48"/>
      <c r="V116" s="48"/>
      <c r="W116" s="48"/>
      <c r="X116" s="49" t="s">
        <v>437</v>
      </c>
      <c r="Y116" s="49"/>
    </row>
    <row r="117" spans="1:25" ht="69" customHeight="1" x14ac:dyDescent="0.2">
      <c r="A117" s="35">
        <v>3</v>
      </c>
      <c r="B117" s="36" t="s">
        <v>438</v>
      </c>
      <c r="C117" s="1" t="s">
        <v>439</v>
      </c>
      <c r="D117" s="1"/>
      <c r="E117" s="1"/>
      <c r="F117" s="1"/>
      <c r="G117" s="1" t="s">
        <v>629</v>
      </c>
      <c r="H117" s="1"/>
      <c r="I117" s="1"/>
      <c r="J117" s="1"/>
      <c r="K117" s="1" t="s">
        <v>630</v>
      </c>
      <c r="L117" s="1"/>
      <c r="M117" s="1"/>
      <c r="N117" s="1"/>
      <c r="O117" s="48" t="s">
        <v>269</v>
      </c>
      <c r="P117" s="48"/>
      <c r="Q117" s="48"/>
      <c r="R117" s="48"/>
      <c r="S117" s="48"/>
      <c r="T117" s="48"/>
      <c r="U117" s="48"/>
      <c r="V117" s="48"/>
      <c r="W117" s="48"/>
      <c r="X117" s="49" t="s">
        <v>632</v>
      </c>
      <c r="Y117" s="49"/>
    </row>
    <row r="118" spans="1:25" ht="48" customHeight="1" x14ac:dyDescent="0.2">
      <c r="A118" s="35">
        <v>4</v>
      </c>
      <c r="B118" s="36" t="s">
        <v>442</v>
      </c>
      <c r="C118" s="1" t="s">
        <v>443</v>
      </c>
      <c r="D118" s="1"/>
      <c r="E118" s="1"/>
      <c r="F118" s="1"/>
      <c r="G118" s="1" t="s">
        <v>93</v>
      </c>
      <c r="H118" s="1"/>
      <c r="I118" s="1"/>
      <c r="J118" s="1"/>
      <c r="K118" s="1" t="s">
        <v>95</v>
      </c>
      <c r="L118" s="1"/>
      <c r="M118" s="1"/>
      <c r="N118" s="1"/>
      <c r="O118" s="48" t="s">
        <v>269</v>
      </c>
      <c r="P118" s="48"/>
      <c r="Q118" s="48"/>
      <c r="R118" s="48"/>
      <c r="S118" s="48"/>
      <c r="T118" s="48"/>
      <c r="U118" s="48"/>
      <c r="V118" s="48"/>
      <c r="W118" s="48"/>
      <c r="X118" s="49" t="s">
        <v>623</v>
      </c>
      <c r="Y118" s="49"/>
    </row>
    <row r="119" spans="1:25" ht="48" customHeight="1" x14ac:dyDescent="0.2">
      <c r="A119" s="35">
        <v>5</v>
      </c>
      <c r="B119" s="36" t="s">
        <v>284</v>
      </c>
      <c r="C119" s="1" t="s">
        <v>444</v>
      </c>
      <c r="D119" s="1"/>
      <c r="E119" s="1"/>
      <c r="F119" s="1"/>
      <c r="G119" s="1" t="s">
        <v>52</v>
      </c>
      <c r="H119" s="1"/>
      <c r="I119" s="1"/>
      <c r="J119" s="1"/>
      <c r="K119" s="1" t="s">
        <v>617</v>
      </c>
      <c r="L119" s="1"/>
      <c r="M119" s="1"/>
      <c r="N119" s="1"/>
      <c r="O119" s="48" t="s">
        <v>269</v>
      </c>
      <c r="P119" s="48"/>
      <c r="Q119" s="48"/>
      <c r="R119" s="48"/>
      <c r="S119" s="48"/>
      <c r="T119" s="48"/>
      <c r="U119" s="48"/>
      <c r="V119" s="48"/>
      <c r="W119" s="48"/>
      <c r="X119" s="49" t="s">
        <v>618</v>
      </c>
      <c r="Y119" s="49"/>
    </row>
    <row r="120" spans="1:25" ht="24" customHeight="1" x14ac:dyDescent="0.2"/>
    <row r="121" spans="1:25" ht="54" customHeight="1" x14ac:dyDescent="0.2">
      <c r="A121" s="37">
        <f>'Invetario de Tablas'!A17</f>
        <v>14</v>
      </c>
      <c r="B121" s="44" t="s">
        <v>177</v>
      </c>
      <c r="C121" s="6" t="str">
        <f>'Invetario de Tablas'!B17</f>
        <v>tipo_servicio</v>
      </c>
      <c r="D121" s="6"/>
      <c r="E121" s="6"/>
      <c r="F121" s="6"/>
      <c r="G121" s="62" t="s">
        <v>178</v>
      </c>
      <c r="H121" s="62"/>
      <c r="I121" s="62"/>
      <c r="J121" s="62"/>
      <c r="K121" s="4" t="str">
        <f>'Invetario de Tablas'!C17</f>
        <v>Catálogo de tipos de servicio (tutoría, cambalache, mantenimiento).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5" t="s">
        <v>255</v>
      </c>
      <c r="Y121" s="32" t="s">
        <v>610</v>
      </c>
    </row>
    <row r="122" spans="1:25" ht="45" customHeight="1" x14ac:dyDescent="0.2">
      <c r="A122" s="46" t="s">
        <v>1</v>
      </c>
      <c r="B122" s="47" t="s">
        <v>257</v>
      </c>
      <c r="C122" s="63" t="s">
        <v>258</v>
      </c>
      <c r="D122" s="63"/>
      <c r="E122" s="63"/>
      <c r="F122" s="63"/>
      <c r="G122" s="63" t="s">
        <v>611</v>
      </c>
      <c r="H122" s="63"/>
      <c r="I122" s="63"/>
      <c r="J122" s="63"/>
      <c r="K122" s="63" t="s">
        <v>260</v>
      </c>
      <c r="L122" s="63"/>
      <c r="M122" s="63"/>
      <c r="N122" s="63"/>
      <c r="O122" s="63" t="s">
        <v>261</v>
      </c>
      <c r="P122" s="63"/>
      <c r="Q122" s="63"/>
      <c r="R122" s="63" t="s">
        <v>262</v>
      </c>
      <c r="S122" s="63"/>
      <c r="T122" s="63" t="s">
        <v>263</v>
      </c>
      <c r="U122" s="63"/>
      <c r="V122" s="63" t="s">
        <v>264</v>
      </c>
      <c r="W122" s="63"/>
      <c r="X122" s="64" t="s">
        <v>265</v>
      </c>
      <c r="Y122" s="64"/>
    </row>
    <row r="123" spans="1:25" ht="48" customHeight="1" x14ac:dyDescent="0.2">
      <c r="A123" s="35">
        <v>1</v>
      </c>
      <c r="B123" s="36" t="s">
        <v>445</v>
      </c>
      <c r="C123" s="1" t="s">
        <v>446</v>
      </c>
      <c r="D123" s="1"/>
      <c r="E123" s="1"/>
      <c r="F123" s="1"/>
      <c r="G123" s="1" t="s">
        <v>612</v>
      </c>
      <c r="H123" s="1"/>
      <c r="I123" s="1"/>
      <c r="J123" s="1"/>
      <c r="K123" s="1" t="s">
        <v>80</v>
      </c>
      <c r="L123" s="1"/>
      <c r="M123" s="1"/>
      <c r="N123" s="1"/>
      <c r="O123" s="48" t="s">
        <v>269</v>
      </c>
      <c r="P123" s="48"/>
      <c r="Q123" s="48"/>
      <c r="R123" s="48" t="s">
        <v>270</v>
      </c>
      <c r="S123" s="48"/>
      <c r="T123" s="48"/>
      <c r="U123" s="48"/>
      <c r="V123" s="48"/>
      <c r="W123" s="48"/>
      <c r="X123" s="49" t="s">
        <v>637</v>
      </c>
      <c r="Y123" s="49"/>
    </row>
    <row r="124" spans="1:25" ht="48" customHeight="1" x14ac:dyDescent="0.2">
      <c r="A124" s="35">
        <v>2</v>
      </c>
      <c r="B124" s="36" t="s">
        <v>447</v>
      </c>
      <c r="C124" s="1" t="s">
        <v>448</v>
      </c>
      <c r="D124" s="1"/>
      <c r="E124" s="1"/>
      <c r="F124" s="1"/>
      <c r="G124" s="1" t="s">
        <v>627</v>
      </c>
      <c r="H124" s="1"/>
      <c r="I124" s="1"/>
      <c r="J124" s="1"/>
      <c r="K124" s="1" t="s">
        <v>628</v>
      </c>
      <c r="L124" s="1"/>
      <c r="M124" s="1"/>
      <c r="N124" s="1"/>
      <c r="O124" s="48" t="s">
        <v>269</v>
      </c>
      <c r="P124" s="48"/>
      <c r="Q124" s="48"/>
      <c r="R124" s="48"/>
      <c r="S124" s="48"/>
      <c r="T124" s="48"/>
      <c r="U124" s="48"/>
      <c r="V124" s="48" t="s">
        <v>270</v>
      </c>
      <c r="W124" s="48"/>
      <c r="X124" s="49"/>
      <c r="Y124" s="49"/>
    </row>
    <row r="125" spans="1:25" ht="69" customHeight="1" x14ac:dyDescent="0.2">
      <c r="A125" s="35">
        <v>3</v>
      </c>
      <c r="B125" s="36" t="s">
        <v>449</v>
      </c>
      <c r="C125" s="1" t="s">
        <v>450</v>
      </c>
      <c r="D125" s="1"/>
      <c r="E125" s="1"/>
      <c r="F125" s="1"/>
      <c r="G125" s="1" t="s">
        <v>615</v>
      </c>
      <c r="H125" s="1"/>
      <c r="I125" s="1"/>
      <c r="J125" s="1"/>
      <c r="K125" s="1" t="s">
        <v>616</v>
      </c>
      <c r="L125" s="1"/>
      <c r="M125" s="1"/>
      <c r="N125" s="1"/>
      <c r="O125" s="48" t="s">
        <v>283</v>
      </c>
      <c r="P125" s="48"/>
      <c r="Q125" s="48"/>
      <c r="R125" s="48"/>
      <c r="S125" s="48"/>
      <c r="T125" s="48"/>
      <c r="U125" s="48"/>
      <c r="V125" s="48"/>
      <c r="W125" s="48"/>
      <c r="X125" s="49"/>
      <c r="Y125" s="49"/>
    </row>
    <row r="126" spans="1:25" ht="48" customHeight="1" x14ac:dyDescent="0.2">
      <c r="A126" s="35">
        <v>4</v>
      </c>
      <c r="B126" s="36" t="s">
        <v>284</v>
      </c>
      <c r="C126" s="1" t="s">
        <v>361</v>
      </c>
      <c r="D126" s="1"/>
      <c r="E126" s="1"/>
      <c r="F126" s="1"/>
      <c r="G126" s="1" t="s">
        <v>52</v>
      </c>
      <c r="H126" s="1"/>
      <c r="I126" s="1"/>
      <c r="J126" s="1"/>
      <c r="K126" s="1" t="s">
        <v>617</v>
      </c>
      <c r="L126" s="1"/>
      <c r="M126" s="1"/>
      <c r="N126" s="1"/>
      <c r="O126" s="48" t="s">
        <v>269</v>
      </c>
      <c r="P126" s="48"/>
      <c r="Q126" s="48"/>
      <c r="R126" s="48"/>
      <c r="S126" s="48"/>
      <c r="T126" s="48"/>
      <c r="U126" s="48"/>
      <c r="V126" s="48"/>
      <c r="W126" s="48"/>
      <c r="X126" s="49" t="s">
        <v>618</v>
      </c>
      <c r="Y126" s="49"/>
    </row>
    <row r="127" spans="1:25" ht="24" customHeight="1" x14ac:dyDescent="0.2"/>
    <row r="128" spans="1:25" ht="54" customHeight="1" x14ac:dyDescent="0.2">
      <c r="A128" s="37">
        <f>'Invetario de Tablas'!A18</f>
        <v>15</v>
      </c>
      <c r="B128" s="44" t="s">
        <v>177</v>
      </c>
      <c r="C128" s="6" t="str">
        <f>'Invetario de Tablas'!B18</f>
        <v>servicio</v>
      </c>
      <c r="D128" s="6"/>
      <c r="E128" s="6"/>
      <c r="F128" s="6"/>
      <c r="G128" s="62" t="s">
        <v>178</v>
      </c>
      <c r="H128" s="62"/>
      <c r="I128" s="62"/>
      <c r="J128" s="62"/>
      <c r="K128" s="4" t="str">
        <f>'Invetario de Tablas'!C18</f>
        <v>Oferta de servicios universitarios por parte de un usuario.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5" t="s">
        <v>255</v>
      </c>
      <c r="Y128" s="32" t="s">
        <v>610</v>
      </c>
    </row>
    <row r="129" spans="1:25" ht="45" customHeight="1" x14ac:dyDescent="0.2">
      <c r="A129" s="46" t="s">
        <v>1</v>
      </c>
      <c r="B129" s="47" t="s">
        <v>257</v>
      </c>
      <c r="C129" s="63" t="s">
        <v>258</v>
      </c>
      <c r="D129" s="63"/>
      <c r="E129" s="63"/>
      <c r="F129" s="63"/>
      <c r="G129" s="63" t="s">
        <v>611</v>
      </c>
      <c r="H129" s="63"/>
      <c r="I129" s="63"/>
      <c r="J129" s="63"/>
      <c r="K129" s="63" t="s">
        <v>260</v>
      </c>
      <c r="L129" s="63"/>
      <c r="M129" s="63"/>
      <c r="N129" s="63"/>
      <c r="O129" s="63" t="s">
        <v>261</v>
      </c>
      <c r="P129" s="63"/>
      <c r="Q129" s="63"/>
      <c r="R129" s="63" t="s">
        <v>262</v>
      </c>
      <c r="S129" s="63"/>
      <c r="T129" s="63" t="s">
        <v>263</v>
      </c>
      <c r="U129" s="63"/>
      <c r="V129" s="63" t="s">
        <v>264</v>
      </c>
      <c r="W129" s="63"/>
      <c r="X129" s="64" t="s">
        <v>265</v>
      </c>
      <c r="Y129" s="64"/>
    </row>
    <row r="130" spans="1:25" ht="48" customHeight="1" x14ac:dyDescent="0.2">
      <c r="A130" s="35">
        <v>1</v>
      </c>
      <c r="B130" s="36" t="s">
        <v>451</v>
      </c>
      <c r="C130" s="1" t="s">
        <v>452</v>
      </c>
      <c r="D130" s="1"/>
      <c r="E130" s="1"/>
      <c r="F130" s="1"/>
      <c r="G130" s="1" t="s">
        <v>619</v>
      </c>
      <c r="H130" s="1"/>
      <c r="I130" s="1"/>
      <c r="J130" s="1"/>
      <c r="K130" s="1" t="s">
        <v>89</v>
      </c>
      <c r="L130" s="1"/>
      <c r="M130" s="1"/>
      <c r="N130" s="1"/>
      <c r="O130" s="48" t="s">
        <v>269</v>
      </c>
      <c r="P130" s="48"/>
      <c r="Q130" s="48"/>
      <c r="R130" s="48" t="s">
        <v>270</v>
      </c>
      <c r="S130" s="48"/>
      <c r="T130" s="48"/>
      <c r="U130" s="48"/>
      <c r="V130" s="48"/>
      <c r="W130" s="48"/>
      <c r="X130" s="49" t="s">
        <v>637</v>
      </c>
      <c r="Y130" s="49"/>
    </row>
    <row r="131" spans="1:25" ht="48" customHeight="1" x14ac:dyDescent="0.2">
      <c r="A131" s="35">
        <v>2</v>
      </c>
      <c r="B131" s="36" t="s">
        <v>297</v>
      </c>
      <c r="C131" s="1" t="s">
        <v>453</v>
      </c>
      <c r="D131" s="1"/>
      <c r="E131" s="1"/>
      <c r="F131" s="1"/>
      <c r="G131" s="1" t="s">
        <v>334</v>
      </c>
      <c r="H131" s="1"/>
      <c r="I131" s="1"/>
      <c r="J131" s="1"/>
      <c r="K131" s="1" t="s">
        <v>89</v>
      </c>
      <c r="L131" s="1"/>
      <c r="M131" s="1"/>
      <c r="N131" s="1"/>
      <c r="O131" s="48" t="s">
        <v>269</v>
      </c>
      <c r="P131" s="48"/>
      <c r="Q131" s="48"/>
      <c r="R131" s="48"/>
      <c r="S131" s="48"/>
      <c r="T131" s="48" t="s">
        <v>270</v>
      </c>
      <c r="U131" s="48"/>
      <c r="V131" s="48"/>
      <c r="W131" s="48"/>
      <c r="X131" s="49" t="s">
        <v>335</v>
      </c>
      <c r="Y131" s="49"/>
    </row>
    <row r="132" spans="1:25" ht="48" customHeight="1" x14ac:dyDescent="0.2">
      <c r="A132" s="35">
        <v>3</v>
      </c>
      <c r="B132" s="36" t="s">
        <v>445</v>
      </c>
      <c r="C132" s="1" t="s">
        <v>454</v>
      </c>
      <c r="D132" s="1"/>
      <c r="E132" s="1"/>
      <c r="F132" s="1"/>
      <c r="G132" s="1" t="s">
        <v>598</v>
      </c>
      <c r="H132" s="1"/>
      <c r="I132" s="1"/>
      <c r="J132" s="1"/>
      <c r="K132" s="1" t="s">
        <v>80</v>
      </c>
      <c r="L132" s="1"/>
      <c r="M132" s="1"/>
      <c r="N132" s="1"/>
      <c r="O132" s="48" t="s">
        <v>269</v>
      </c>
      <c r="P132" s="48"/>
      <c r="Q132" s="48"/>
      <c r="R132" s="48"/>
      <c r="S132" s="48"/>
      <c r="T132" s="48" t="s">
        <v>270</v>
      </c>
      <c r="U132" s="48"/>
      <c r="V132" s="48"/>
      <c r="W132" s="48"/>
      <c r="X132" s="49" t="s">
        <v>455</v>
      </c>
      <c r="Y132" s="49"/>
    </row>
    <row r="133" spans="1:25" ht="48" customHeight="1" x14ac:dyDescent="0.2">
      <c r="A133" s="35">
        <v>4</v>
      </c>
      <c r="B133" s="36" t="s">
        <v>456</v>
      </c>
      <c r="C133" s="1" t="s">
        <v>457</v>
      </c>
      <c r="D133" s="1"/>
      <c r="E133" s="1"/>
      <c r="F133" s="1"/>
      <c r="G133" s="1" t="s">
        <v>624</v>
      </c>
      <c r="H133" s="1"/>
      <c r="I133" s="1"/>
      <c r="J133" s="1"/>
      <c r="K133" s="1" t="s">
        <v>625</v>
      </c>
      <c r="L133" s="1"/>
      <c r="M133" s="1"/>
      <c r="N133" s="1"/>
      <c r="O133" s="48" t="s">
        <v>269</v>
      </c>
      <c r="P133" s="48"/>
      <c r="Q133" s="48"/>
      <c r="R133" s="48"/>
      <c r="S133" s="48"/>
      <c r="T133" s="48"/>
      <c r="U133" s="48"/>
      <c r="V133" s="48"/>
      <c r="W133" s="48"/>
      <c r="X133" s="49"/>
      <c r="Y133" s="49"/>
    </row>
    <row r="134" spans="1:25" ht="69" customHeight="1" x14ac:dyDescent="0.2">
      <c r="A134" s="35">
        <v>5</v>
      </c>
      <c r="B134" s="36" t="s">
        <v>458</v>
      </c>
      <c r="C134" s="1" t="s">
        <v>459</v>
      </c>
      <c r="D134" s="1"/>
      <c r="E134" s="1"/>
      <c r="F134" s="1"/>
      <c r="G134" s="1" t="s">
        <v>63</v>
      </c>
      <c r="H134" s="1"/>
      <c r="I134" s="1"/>
      <c r="J134" s="1"/>
      <c r="K134" s="1" t="s">
        <v>65</v>
      </c>
      <c r="L134" s="1"/>
      <c r="M134" s="1"/>
      <c r="N134" s="1"/>
      <c r="O134" s="48" t="s">
        <v>283</v>
      </c>
      <c r="P134" s="48"/>
      <c r="Q134" s="48"/>
      <c r="R134" s="48"/>
      <c r="S134" s="48"/>
      <c r="T134" s="48"/>
      <c r="U134" s="48"/>
      <c r="V134" s="48"/>
      <c r="W134" s="48"/>
      <c r="X134" s="49"/>
      <c r="Y134" s="49"/>
    </row>
    <row r="135" spans="1:25" ht="30" customHeight="1" x14ac:dyDescent="0.2">
      <c r="A135" s="35">
        <v>6</v>
      </c>
      <c r="B135" s="36" t="s">
        <v>460</v>
      </c>
      <c r="C135" s="1" t="s">
        <v>461</v>
      </c>
      <c r="D135" s="1"/>
      <c r="E135" s="1"/>
      <c r="F135" s="1"/>
      <c r="G135" s="1" t="s">
        <v>605</v>
      </c>
      <c r="H135" s="1"/>
      <c r="I135" s="1"/>
      <c r="J135" s="1"/>
      <c r="K135" s="1" t="s">
        <v>633</v>
      </c>
      <c r="L135" s="1"/>
      <c r="M135" s="1"/>
      <c r="N135" s="1"/>
      <c r="O135" s="48" t="s">
        <v>269</v>
      </c>
      <c r="P135" s="48"/>
      <c r="Q135" s="48"/>
      <c r="R135" s="48"/>
      <c r="S135" s="48"/>
      <c r="T135" s="48"/>
      <c r="U135" s="48"/>
      <c r="V135" s="48"/>
      <c r="W135" s="48"/>
      <c r="X135" s="49" t="s">
        <v>463</v>
      </c>
      <c r="Y135" s="49"/>
    </row>
    <row r="136" spans="1:25" ht="48" customHeight="1" x14ac:dyDescent="0.2">
      <c r="A136" s="35">
        <v>7</v>
      </c>
      <c r="B136" s="36" t="s">
        <v>464</v>
      </c>
      <c r="C136" s="1" t="s">
        <v>465</v>
      </c>
      <c r="D136" s="1"/>
      <c r="E136" s="1"/>
      <c r="F136" s="1"/>
      <c r="G136" s="1" t="s">
        <v>52</v>
      </c>
      <c r="H136" s="1"/>
      <c r="I136" s="1"/>
      <c r="J136" s="1"/>
      <c r="K136" s="1" t="s">
        <v>617</v>
      </c>
      <c r="L136" s="1"/>
      <c r="M136" s="1"/>
      <c r="N136" s="1"/>
      <c r="O136" s="48" t="s">
        <v>269</v>
      </c>
      <c r="P136" s="48"/>
      <c r="Q136" s="48"/>
      <c r="R136" s="48"/>
      <c r="S136" s="48"/>
      <c r="T136" s="48"/>
      <c r="U136" s="48"/>
      <c r="V136" s="48"/>
      <c r="W136" s="48"/>
      <c r="X136" s="49" t="s">
        <v>618</v>
      </c>
      <c r="Y136" s="49"/>
    </row>
    <row r="137" spans="1:25" ht="48" customHeight="1" x14ac:dyDescent="0.2">
      <c r="A137" s="35">
        <v>8</v>
      </c>
      <c r="B137" s="36" t="s">
        <v>373</v>
      </c>
      <c r="C137" s="1" t="s">
        <v>374</v>
      </c>
      <c r="D137" s="1"/>
      <c r="E137" s="1"/>
      <c r="F137" s="1"/>
      <c r="G137" s="1" t="s">
        <v>93</v>
      </c>
      <c r="H137" s="1"/>
      <c r="I137" s="1"/>
      <c r="J137" s="1"/>
      <c r="K137" s="1" t="s">
        <v>95</v>
      </c>
      <c r="L137" s="1"/>
      <c r="M137" s="1"/>
      <c r="N137" s="1"/>
      <c r="O137" s="48" t="s">
        <v>269</v>
      </c>
      <c r="P137" s="48"/>
      <c r="Q137" s="48"/>
      <c r="R137" s="48"/>
      <c r="S137" s="48"/>
      <c r="T137" s="48"/>
      <c r="U137" s="48"/>
      <c r="V137" s="48"/>
      <c r="W137" s="48"/>
      <c r="X137" s="49" t="s">
        <v>623</v>
      </c>
      <c r="Y137" s="49"/>
    </row>
    <row r="138" spans="1:25" ht="24" customHeight="1" x14ac:dyDescent="0.2"/>
    <row r="139" spans="1:25" ht="54" customHeight="1" x14ac:dyDescent="0.2">
      <c r="A139" s="37">
        <f>'Invetario de Tablas'!A19</f>
        <v>16</v>
      </c>
      <c r="B139" s="44" t="s">
        <v>177</v>
      </c>
      <c r="C139" s="6" t="str">
        <f>'Invetario de Tablas'!B19</f>
        <v>tipo_producto</v>
      </c>
      <c r="D139" s="6"/>
      <c r="E139" s="6"/>
      <c r="F139" s="6"/>
      <c r="G139" s="62" t="s">
        <v>178</v>
      </c>
      <c r="H139" s="62"/>
      <c r="I139" s="62"/>
      <c r="J139" s="62"/>
      <c r="K139" s="4" t="str">
        <f>'Invetario de Tablas'!C19</f>
        <v>Catálogo de tipos de producto (papelería, libros, ropa, tecnología).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5" t="s">
        <v>255</v>
      </c>
      <c r="Y139" s="32" t="s">
        <v>610</v>
      </c>
    </row>
    <row r="140" spans="1:25" ht="45" customHeight="1" x14ac:dyDescent="0.2">
      <c r="A140" s="46" t="s">
        <v>1</v>
      </c>
      <c r="B140" s="47" t="s">
        <v>257</v>
      </c>
      <c r="C140" s="63" t="s">
        <v>258</v>
      </c>
      <c r="D140" s="63"/>
      <c r="E140" s="63"/>
      <c r="F140" s="63"/>
      <c r="G140" s="63" t="s">
        <v>611</v>
      </c>
      <c r="H140" s="63"/>
      <c r="I140" s="63"/>
      <c r="J140" s="63"/>
      <c r="K140" s="63" t="s">
        <v>260</v>
      </c>
      <c r="L140" s="63"/>
      <c r="M140" s="63"/>
      <c r="N140" s="63"/>
      <c r="O140" s="63" t="s">
        <v>261</v>
      </c>
      <c r="P140" s="63"/>
      <c r="Q140" s="63"/>
      <c r="R140" s="63" t="s">
        <v>262</v>
      </c>
      <c r="S140" s="63"/>
      <c r="T140" s="63" t="s">
        <v>263</v>
      </c>
      <c r="U140" s="63"/>
      <c r="V140" s="63" t="s">
        <v>264</v>
      </c>
      <c r="W140" s="63"/>
      <c r="X140" s="64" t="s">
        <v>265</v>
      </c>
      <c r="Y140" s="64"/>
    </row>
    <row r="141" spans="1:25" ht="48" customHeight="1" x14ac:dyDescent="0.2">
      <c r="A141" s="35">
        <v>1</v>
      </c>
      <c r="B141" s="36" t="s">
        <v>466</v>
      </c>
      <c r="C141" s="1" t="s">
        <v>467</v>
      </c>
      <c r="D141" s="1"/>
      <c r="E141" s="1"/>
      <c r="F141" s="1"/>
      <c r="G141" s="1" t="s">
        <v>612</v>
      </c>
      <c r="H141" s="1"/>
      <c r="I141" s="1"/>
      <c r="J141" s="1"/>
      <c r="K141" s="1" t="s">
        <v>80</v>
      </c>
      <c r="L141" s="1"/>
      <c r="M141" s="1"/>
      <c r="N141" s="1"/>
      <c r="O141" s="48" t="s">
        <v>269</v>
      </c>
      <c r="P141" s="48"/>
      <c r="Q141" s="48"/>
      <c r="R141" s="48" t="s">
        <v>270</v>
      </c>
      <c r="S141" s="48"/>
      <c r="T141" s="48"/>
      <c r="U141" s="48"/>
      <c r="V141" s="48"/>
      <c r="W141" s="48"/>
      <c r="X141" s="49" t="s">
        <v>637</v>
      </c>
      <c r="Y141" s="49"/>
    </row>
    <row r="142" spans="1:25" ht="48" customHeight="1" x14ac:dyDescent="0.2">
      <c r="A142" s="35">
        <v>2</v>
      </c>
      <c r="B142" s="36" t="s">
        <v>468</v>
      </c>
      <c r="C142" s="1" t="s">
        <v>469</v>
      </c>
      <c r="D142" s="1"/>
      <c r="E142" s="1"/>
      <c r="F142" s="1"/>
      <c r="G142" s="1" t="s">
        <v>627</v>
      </c>
      <c r="H142" s="1"/>
      <c r="I142" s="1"/>
      <c r="J142" s="1"/>
      <c r="K142" s="1" t="s">
        <v>628</v>
      </c>
      <c r="L142" s="1"/>
      <c r="M142" s="1"/>
      <c r="N142" s="1"/>
      <c r="O142" s="48" t="s">
        <v>269</v>
      </c>
      <c r="P142" s="48"/>
      <c r="Q142" s="48"/>
      <c r="R142" s="48"/>
      <c r="S142" s="48"/>
      <c r="T142" s="48"/>
      <c r="U142" s="48"/>
      <c r="V142" s="48" t="s">
        <v>270</v>
      </c>
      <c r="W142" s="48"/>
      <c r="X142" s="49"/>
      <c r="Y142" s="49"/>
    </row>
    <row r="143" spans="1:25" ht="69" customHeight="1" x14ac:dyDescent="0.2">
      <c r="A143" s="35">
        <v>3</v>
      </c>
      <c r="B143" s="36" t="s">
        <v>470</v>
      </c>
      <c r="C143" s="1" t="s">
        <v>471</v>
      </c>
      <c r="D143" s="1"/>
      <c r="E143" s="1"/>
      <c r="F143" s="1"/>
      <c r="G143" s="1" t="s">
        <v>615</v>
      </c>
      <c r="H143" s="1"/>
      <c r="I143" s="1"/>
      <c r="J143" s="1"/>
      <c r="K143" s="1" t="s">
        <v>616</v>
      </c>
      <c r="L143" s="1"/>
      <c r="M143" s="1"/>
      <c r="N143" s="1"/>
      <c r="O143" s="48" t="s">
        <v>283</v>
      </c>
      <c r="P143" s="48"/>
      <c r="Q143" s="48"/>
      <c r="R143" s="48"/>
      <c r="S143" s="48"/>
      <c r="T143" s="48"/>
      <c r="U143" s="48"/>
      <c r="V143" s="48"/>
      <c r="W143" s="48"/>
      <c r="X143" s="49"/>
      <c r="Y143" s="49"/>
    </row>
    <row r="144" spans="1:25" ht="48" customHeight="1" x14ac:dyDescent="0.2">
      <c r="A144" s="35">
        <v>4</v>
      </c>
      <c r="B144" s="36" t="s">
        <v>284</v>
      </c>
      <c r="C144" s="1" t="s">
        <v>361</v>
      </c>
      <c r="D144" s="1"/>
      <c r="E144" s="1"/>
      <c r="F144" s="1"/>
      <c r="G144" s="1" t="s">
        <v>52</v>
      </c>
      <c r="H144" s="1"/>
      <c r="I144" s="1"/>
      <c r="J144" s="1"/>
      <c r="K144" s="1" t="s">
        <v>617</v>
      </c>
      <c r="L144" s="1"/>
      <c r="M144" s="1"/>
      <c r="N144" s="1"/>
      <c r="O144" s="48" t="s">
        <v>269</v>
      </c>
      <c r="P144" s="48"/>
      <c r="Q144" s="48"/>
      <c r="R144" s="48"/>
      <c r="S144" s="48"/>
      <c r="T144" s="48"/>
      <c r="U144" s="48"/>
      <c r="V144" s="48"/>
      <c r="W144" s="48"/>
      <c r="X144" s="49" t="s">
        <v>618</v>
      </c>
      <c r="Y144" s="49"/>
    </row>
    <row r="145" spans="1:25" ht="24" customHeight="1" x14ac:dyDescent="0.2"/>
    <row r="146" spans="1:25" ht="54" customHeight="1" x14ac:dyDescent="0.2">
      <c r="A146" s="37">
        <f>'Invetario de Tablas'!A20</f>
        <v>17</v>
      </c>
      <c r="B146" s="44" t="s">
        <v>177</v>
      </c>
      <c r="C146" s="6" t="str">
        <f>'Invetario de Tablas'!B20</f>
        <v>producto</v>
      </c>
      <c r="D146" s="6"/>
      <c r="E146" s="6"/>
      <c r="F146" s="6"/>
      <c r="G146" s="62" t="s">
        <v>178</v>
      </c>
      <c r="H146" s="62"/>
      <c r="I146" s="62"/>
      <c r="J146" s="62"/>
      <c r="K146" s="4" t="str">
        <f>'Invetario de Tablas'!C20</f>
        <v>Productos o artículos publicados para la venta en el marketplace.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5" t="s">
        <v>255</v>
      </c>
      <c r="Y146" s="32" t="s">
        <v>610</v>
      </c>
    </row>
    <row r="147" spans="1:25" ht="45" customHeight="1" x14ac:dyDescent="0.2">
      <c r="A147" s="46" t="s">
        <v>1</v>
      </c>
      <c r="B147" s="47" t="s">
        <v>257</v>
      </c>
      <c r="C147" s="63" t="s">
        <v>258</v>
      </c>
      <c r="D147" s="63"/>
      <c r="E147" s="63"/>
      <c r="F147" s="63"/>
      <c r="G147" s="63" t="s">
        <v>611</v>
      </c>
      <c r="H147" s="63"/>
      <c r="I147" s="63"/>
      <c r="J147" s="63"/>
      <c r="K147" s="63" t="s">
        <v>260</v>
      </c>
      <c r="L147" s="63"/>
      <c r="M147" s="63"/>
      <c r="N147" s="63"/>
      <c r="O147" s="63" t="s">
        <v>261</v>
      </c>
      <c r="P147" s="63"/>
      <c r="Q147" s="63"/>
      <c r="R147" s="63" t="s">
        <v>262</v>
      </c>
      <c r="S147" s="63"/>
      <c r="T147" s="63" t="s">
        <v>263</v>
      </c>
      <c r="U147" s="63"/>
      <c r="V147" s="63" t="s">
        <v>264</v>
      </c>
      <c r="W147" s="63"/>
      <c r="X147" s="64" t="s">
        <v>265</v>
      </c>
      <c r="Y147" s="64"/>
    </row>
    <row r="148" spans="1:25" ht="48" customHeight="1" x14ac:dyDescent="0.2">
      <c r="A148" s="35">
        <v>1</v>
      </c>
      <c r="B148" s="36" t="s">
        <v>472</v>
      </c>
      <c r="C148" s="1" t="s">
        <v>473</v>
      </c>
      <c r="D148" s="1"/>
      <c r="E148" s="1"/>
      <c r="F148" s="1"/>
      <c r="G148" s="1" t="s">
        <v>619</v>
      </c>
      <c r="H148" s="1"/>
      <c r="I148" s="1"/>
      <c r="J148" s="1"/>
      <c r="K148" s="1" t="s">
        <v>89</v>
      </c>
      <c r="L148" s="1"/>
      <c r="M148" s="1"/>
      <c r="N148" s="1"/>
      <c r="O148" s="48" t="s">
        <v>269</v>
      </c>
      <c r="P148" s="48"/>
      <c r="Q148" s="48"/>
      <c r="R148" s="48" t="s">
        <v>270</v>
      </c>
      <c r="S148" s="48"/>
      <c r="T148" s="48"/>
      <c r="U148" s="48"/>
      <c r="V148" s="48"/>
      <c r="W148" s="48"/>
      <c r="X148" s="49" t="s">
        <v>637</v>
      </c>
      <c r="Y148" s="49"/>
    </row>
    <row r="149" spans="1:25" ht="48" customHeight="1" x14ac:dyDescent="0.2">
      <c r="A149" s="35">
        <v>2</v>
      </c>
      <c r="B149" s="36" t="s">
        <v>297</v>
      </c>
      <c r="C149" s="1" t="s">
        <v>474</v>
      </c>
      <c r="D149" s="1"/>
      <c r="E149" s="1"/>
      <c r="F149" s="1"/>
      <c r="G149" s="1" t="s">
        <v>334</v>
      </c>
      <c r="H149" s="1"/>
      <c r="I149" s="1"/>
      <c r="J149" s="1"/>
      <c r="K149" s="1" t="s">
        <v>89</v>
      </c>
      <c r="L149" s="1"/>
      <c r="M149" s="1"/>
      <c r="N149" s="1"/>
      <c r="O149" s="48" t="s">
        <v>269</v>
      </c>
      <c r="P149" s="48"/>
      <c r="Q149" s="48"/>
      <c r="R149" s="48"/>
      <c r="S149" s="48"/>
      <c r="T149" s="48" t="s">
        <v>270</v>
      </c>
      <c r="U149" s="48"/>
      <c r="V149" s="48"/>
      <c r="W149" s="48"/>
      <c r="X149" s="49" t="s">
        <v>335</v>
      </c>
      <c r="Y149" s="49"/>
    </row>
    <row r="150" spans="1:25" ht="73.5" customHeight="1" x14ac:dyDescent="0.2">
      <c r="A150" s="35">
        <v>3</v>
      </c>
      <c r="B150" s="36" t="s">
        <v>466</v>
      </c>
      <c r="C150" s="1" t="s">
        <v>475</v>
      </c>
      <c r="D150" s="1"/>
      <c r="E150" s="1"/>
      <c r="F150" s="1"/>
      <c r="G150" s="1" t="s">
        <v>598</v>
      </c>
      <c r="H150" s="1"/>
      <c r="I150" s="1"/>
      <c r="J150" s="1"/>
      <c r="K150" s="1" t="s">
        <v>80</v>
      </c>
      <c r="L150" s="1"/>
      <c r="M150" s="1"/>
      <c r="N150" s="1"/>
      <c r="O150" s="48" t="s">
        <v>269</v>
      </c>
      <c r="P150" s="48"/>
      <c r="Q150" s="48"/>
      <c r="R150" s="48"/>
      <c r="S150" s="48"/>
      <c r="T150" s="48" t="s">
        <v>270</v>
      </c>
      <c r="U150" s="48"/>
      <c r="V150" s="48"/>
      <c r="W150" s="48"/>
      <c r="X150" s="49" t="s">
        <v>476</v>
      </c>
      <c r="Y150" s="49"/>
    </row>
    <row r="151" spans="1:25" ht="48" customHeight="1" x14ac:dyDescent="0.2">
      <c r="A151" s="35">
        <v>4</v>
      </c>
      <c r="B151" s="36" t="s">
        <v>477</v>
      </c>
      <c r="C151" s="1" t="s">
        <v>478</v>
      </c>
      <c r="D151" s="1"/>
      <c r="E151" s="1"/>
      <c r="F151" s="1"/>
      <c r="G151" s="1" t="s">
        <v>624</v>
      </c>
      <c r="H151" s="1"/>
      <c r="I151" s="1"/>
      <c r="J151" s="1"/>
      <c r="K151" s="1" t="s">
        <v>625</v>
      </c>
      <c r="L151" s="1"/>
      <c r="M151" s="1"/>
      <c r="N151" s="1"/>
      <c r="O151" s="48" t="s">
        <v>269</v>
      </c>
      <c r="P151" s="48"/>
      <c r="Q151" s="48"/>
      <c r="R151" s="48"/>
      <c r="S151" s="48"/>
      <c r="T151" s="48"/>
      <c r="U151" s="48"/>
      <c r="V151" s="48"/>
      <c r="W151" s="48"/>
      <c r="X151" s="49"/>
      <c r="Y151" s="49"/>
    </row>
    <row r="152" spans="1:25" ht="69" customHeight="1" x14ac:dyDescent="0.2">
      <c r="A152" s="35">
        <v>5</v>
      </c>
      <c r="B152" s="36" t="s">
        <v>479</v>
      </c>
      <c r="C152" s="1" t="s">
        <v>480</v>
      </c>
      <c r="D152" s="1"/>
      <c r="E152" s="1"/>
      <c r="F152" s="1"/>
      <c r="G152" s="1" t="s">
        <v>63</v>
      </c>
      <c r="H152" s="1"/>
      <c r="I152" s="1"/>
      <c r="J152" s="1"/>
      <c r="K152" s="1" t="s">
        <v>65</v>
      </c>
      <c r="L152" s="1"/>
      <c r="M152" s="1"/>
      <c r="N152" s="1"/>
      <c r="O152" s="48" t="s">
        <v>283</v>
      </c>
      <c r="P152" s="48"/>
      <c r="Q152" s="48"/>
      <c r="R152" s="48"/>
      <c r="S152" s="48"/>
      <c r="T152" s="48"/>
      <c r="U152" s="48"/>
      <c r="V152" s="48"/>
      <c r="W152" s="48"/>
      <c r="X152" s="49"/>
      <c r="Y152" s="49"/>
    </row>
    <row r="153" spans="1:25" ht="30" customHeight="1" x14ac:dyDescent="0.2">
      <c r="A153" s="35">
        <v>6</v>
      </c>
      <c r="B153" s="36" t="s">
        <v>481</v>
      </c>
      <c r="C153" s="1" t="s">
        <v>482</v>
      </c>
      <c r="D153" s="1"/>
      <c r="E153" s="1"/>
      <c r="F153" s="1"/>
      <c r="G153" s="1" t="s">
        <v>605</v>
      </c>
      <c r="H153" s="1"/>
      <c r="I153" s="1"/>
      <c r="J153" s="1"/>
      <c r="K153" s="1" t="s">
        <v>633</v>
      </c>
      <c r="L153" s="1"/>
      <c r="M153" s="1"/>
      <c r="N153" s="1"/>
      <c r="O153" s="48" t="s">
        <v>269</v>
      </c>
      <c r="P153" s="48"/>
      <c r="Q153" s="48"/>
      <c r="R153" s="48"/>
      <c r="S153" s="48"/>
      <c r="T153" s="48"/>
      <c r="U153" s="48"/>
      <c r="V153" s="48"/>
      <c r="W153" s="48"/>
      <c r="X153" s="49" t="s">
        <v>463</v>
      </c>
      <c r="Y153" s="49"/>
    </row>
    <row r="154" spans="1:25" ht="30" customHeight="1" x14ac:dyDescent="0.2">
      <c r="A154" s="35">
        <v>7</v>
      </c>
      <c r="B154" s="36" t="s">
        <v>483</v>
      </c>
      <c r="C154" s="1" t="s">
        <v>484</v>
      </c>
      <c r="D154" s="1"/>
      <c r="E154" s="1"/>
      <c r="F154" s="1"/>
      <c r="G154" s="1" t="s">
        <v>598</v>
      </c>
      <c r="H154" s="1"/>
      <c r="I154" s="1"/>
      <c r="J154" s="1"/>
      <c r="K154" s="1" t="s">
        <v>80</v>
      </c>
      <c r="L154" s="1"/>
      <c r="M154" s="1"/>
      <c r="N154" s="1"/>
      <c r="O154" s="48" t="s">
        <v>269</v>
      </c>
      <c r="P154" s="48"/>
      <c r="Q154" s="48"/>
      <c r="R154" s="48"/>
      <c r="S154" s="48"/>
      <c r="T154" s="48"/>
      <c r="U154" s="48"/>
      <c r="V154" s="48"/>
      <c r="W154" s="48"/>
      <c r="X154" s="49" t="s">
        <v>463</v>
      </c>
      <c r="Y154" s="49"/>
    </row>
    <row r="155" spans="1:25" ht="48" customHeight="1" x14ac:dyDescent="0.2">
      <c r="A155" s="35">
        <v>8</v>
      </c>
      <c r="B155" s="36" t="s">
        <v>485</v>
      </c>
      <c r="C155" s="1" t="s">
        <v>486</v>
      </c>
      <c r="D155" s="1"/>
      <c r="E155" s="1"/>
      <c r="F155" s="1"/>
      <c r="G155" s="1" t="s">
        <v>324</v>
      </c>
      <c r="H155" s="1"/>
      <c r="I155" s="1"/>
      <c r="J155" s="1"/>
      <c r="K155" s="1" t="s">
        <v>325</v>
      </c>
      <c r="L155" s="1"/>
      <c r="M155" s="1"/>
      <c r="N155" s="1"/>
      <c r="O155" s="48" t="s">
        <v>283</v>
      </c>
      <c r="P155" s="48"/>
      <c r="Q155" s="48"/>
      <c r="R155" s="48"/>
      <c r="S155" s="48"/>
      <c r="T155" s="48"/>
      <c r="U155" s="48"/>
      <c r="V155" s="48"/>
      <c r="W155" s="48"/>
      <c r="X155" s="49"/>
      <c r="Y155" s="49"/>
    </row>
    <row r="156" spans="1:25" ht="48" customHeight="1" x14ac:dyDescent="0.2">
      <c r="A156" s="35">
        <v>9</v>
      </c>
      <c r="B156" s="36" t="s">
        <v>464</v>
      </c>
      <c r="C156" s="1" t="s">
        <v>487</v>
      </c>
      <c r="D156" s="1"/>
      <c r="E156" s="1"/>
      <c r="F156" s="1"/>
      <c r="G156" s="1" t="s">
        <v>52</v>
      </c>
      <c r="H156" s="1"/>
      <c r="I156" s="1"/>
      <c r="J156" s="1"/>
      <c r="K156" s="1" t="s">
        <v>617</v>
      </c>
      <c r="L156" s="1"/>
      <c r="M156" s="1"/>
      <c r="N156" s="1"/>
      <c r="O156" s="48" t="s">
        <v>269</v>
      </c>
      <c r="P156" s="48"/>
      <c r="Q156" s="48"/>
      <c r="R156" s="48"/>
      <c r="S156" s="48"/>
      <c r="T156" s="48"/>
      <c r="U156" s="48"/>
      <c r="V156" s="48"/>
      <c r="W156" s="48"/>
      <c r="X156" s="49" t="s">
        <v>618</v>
      </c>
      <c r="Y156" s="49"/>
    </row>
    <row r="157" spans="1:25" ht="48" customHeight="1" x14ac:dyDescent="0.2">
      <c r="A157" s="35">
        <v>10</v>
      </c>
      <c r="B157" s="36" t="s">
        <v>373</v>
      </c>
      <c r="C157" s="1" t="s">
        <v>374</v>
      </c>
      <c r="D157" s="1"/>
      <c r="E157" s="1"/>
      <c r="F157" s="1"/>
      <c r="G157" s="1" t="s">
        <v>93</v>
      </c>
      <c r="H157" s="1"/>
      <c r="I157" s="1"/>
      <c r="J157" s="1"/>
      <c r="K157" s="1" t="s">
        <v>95</v>
      </c>
      <c r="L157" s="1"/>
      <c r="M157" s="1"/>
      <c r="N157" s="1"/>
      <c r="O157" s="48" t="s">
        <v>269</v>
      </c>
      <c r="P157" s="48"/>
      <c r="Q157" s="48"/>
      <c r="R157" s="48"/>
      <c r="S157" s="48"/>
      <c r="T157" s="48"/>
      <c r="U157" s="48"/>
      <c r="V157" s="48"/>
      <c r="W157" s="48"/>
      <c r="X157" s="49" t="s">
        <v>623</v>
      </c>
      <c r="Y157" s="49"/>
    </row>
    <row r="158" spans="1:25" ht="24" customHeight="1" x14ac:dyDescent="0.2"/>
    <row r="159" spans="1:25" ht="54" customHeight="1" x14ac:dyDescent="0.2">
      <c r="A159" s="37">
        <f>'Invetario de Tablas'!A21</f>
        <v>18</v>
      </c>
      <c r="B159" s="44" t="s">
        <v>177</v>
      </c>
      <c r="C159" s="6" t="str">
        <f>'Invetario de Tablas'!B21</f>
        <v>medio_pago</v>
      </c>
      <c r="D159" s="6"/>
      <c r="E159" s="6"/>
      <c r="F159" s="6"/>
      <c r="G159" s="62" t="s">
        <v>178</v>
      </c>
      <c r="H159" s="62"/>
      <c r="I159" s="62"/>
      <c r="J159" s="62"/>
      <c r="K159" s="4" t="str">
        <f>'Invetario de Tablas'!C21</f>
        <v>Catálogo de formas de pago (efectivo, transferencia, puntos pascualinos).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5" t="s">
        <v>255</v>
      </c>
      <c r="Y159" s="32" t="s">
        <v>610</v>
      </c>
    </row>
    <row r="160" spans="1:25" ht="45" customHeight="1" x14ac:dyDescent="0.2">
      <c r="A160" s="46" t="s">
        <v>1</v>
      </c>
      <c r="B160" s="47" t="s">
        <v>257</v>
      </c>
      <c r="C160" s="63" t="s">
        <v>258</v>
      </c>
      <c r="D160" s="63"/>
      <c r="E160" s="63"/>
      <c r="F160" s="63"/>
      <c r="G160" s="63" t="s">
        <v>611</v>
      </c>
      <c r="H160" s="63"/>
      <c r="I160" s="63"/>
      <c r="J160" s="63"/>
      <c r="K160" s="63" t="s">
        <v>260</v>
      </c>
      <c r="L160" s="63"/>
      <c r="M160" s="63"/>
      <c r="N160" s="63"/>
      <c r="O160" s="63" t="s">
        <v>261</v>
      </c>
      <c r="P160" s="63"/>
      <c r="Q160" s="63"/>
      <c r="R160" s="63" t="s">
        <v>262</v>
      </c>
      <c r="S160" s="63"/>
      <c r="T160" s="63" t="s">
        <v>263</v>
      </c>
      <c r="U160" s="63"/>
      <c r="V160" s="63" t="s">
        <v>264</v>
      </c>
      <c r="W160" s="63"/>
      <c r="X160" s="64" t="s">
        <v>265</v>
      </c>
      <c r="Y160" s="64"/>
    </row>
    <row r="161" spans="1:25" ht="48" customHeight="1" x14ac:dyDescent="0.2">
      <c r="A161" s="35">
        <v>1</v>
      </c>
      <c r="B161" s="36" t="s">
        <v>488</v>
      </c>
      <c r="C161" s="1" t="s">
        <v>489</v>
      </c>
      <c r="D161" s="1"/>
      <c r="E161" s="1"/>
      <c r="F161" s="1"/>
      <c r="G161" s="1" t="s">
        <v>612</v>
      </c>
      <c r="H161" s="1"/>
      <c r="I161" s="1"/>
      <c r="J161" s="1"/>
      <c r="K161" s="1" t="s">
        <v>80</v>
      </c>
      <c r="L161" s="1"/>
      <c r="M161" s="1"/>
      <c r="N161" s="1"/>
      <c r="O161" s="48" t="s">
        <v>269</v>
      </c>
      <c r="P161" s="48"/>
      <c r="Q161" s="48"/>
      <c r="R161" s="48" t="s">
        <v>270</v>
      </c>
      <c r="S161" s="48"/>
      <c r="T161" s="48"/>
      <c r="U161" s="48"/>
      <c r="V161" s="48"/>
      <c r="W161" s="48"/>
      <c r="X161" s="49" t="s">
        <v>637</v>
      </c>
      <c r="Y161" s="49"/>
    </row>
    <row r="162" spans="1:25" ht="69" customHeight="1" x14ac:dyDescent="0.2">
      <c r="A162" s="35">
        <v>2</v>
      </c>
      <c r="B162" s="36" t="s">
        <v>490</v>
      </c>
      <c r="C162" s="1" t="s">
        <v>491</v>
      </c>
      <c r="D162" s="1"/>
      <c r="E162" s="1"/>
      <c r="F162" s="1"/>
      <c r="G162" s="1" t="s">
        <v>627</v>
      </c>
      <c r="H162" s="1"/>
      <c r="I162" s="1"/>
      <c r="J162" s="1"/>
      <c r="K162" s="1" t="s">
        <v>628</v>
      </c>
      <c r="L162" s="1"/>
      <c r="M162" s="1"/>
      <c r="N162" s="1"/>
      <c r="O162" s="48" t="s">
        <v>269</v>
      </c>
      <c r="P162" s="48"/>
      <c r="Q162" s="48"/>
      <c r="R162" s="48"/>
      <c r="S162" s="48"/>
      <c r="T162" s="48"/>
      <c r="U162" s="48"/>
      <c r="V162" s="48" t="s">
        <v>270</v>
      </c>
      <c r="W162" s="48"/>
      <c r="X162" s="49"/>
      <c r="Y162" s="49"/>
    </row>
    <row r="163" spans="1:25" ht="48" customHeight="1" x14ac:dyDescent="0.2">
      <c r="A163" s="35">
        <v>3</v>
      </c>
      <c r="B163" s="36" t="s">
        <v>492</v>
      </c>
      <c r="C163" s="1" t="s">
        <v>493</v>
      </c>
      <c r="D163" s="1"/>
      <c r="E163" s="1"/>
      <c r="F163" s="1"/>
      <c r="G163" s="1" t="s">
        <v>278</v>
      </c>
      <c r="H163" s="1"/>
      <c r="I163" s="1"/>
      <c r="J163" s="1"/>
      <c r="K163" s="1" t="s">
        <v>82</v>
      </c>
      <c r="L163" s="1"/>
      <c r="M163" s="1"/>
      <c r="N163" s="1"/>
      <c r="O163" s="48" t="s">
        <v>269</v>
      </c>
      <c r="P163" s="48"/>
      <c r="Q163" s="48"/>
      <c r="R163" s="48"/>
      <c r="S163" s="48"/>
      <c r="T163" s="48"/>
      <c r="U163" s="48"/>
      <c r="V163" s="48" t="s">
        <v>270</v>
      </c>
      <c r="W163" s="48"/>
      <c r="X163" s="49"/>
      <c r="Y163" s="49"/>
    </row>
    <row r="164" spans="1:25" ht="48" customHeight="1" x14ac:dyDescent="0.2">
      <c r="A164" s="35">
        <v>4</v>
      </c>
      <c r="B164" s="36" t="s">
        <v>494</v>
      </c>
      <c r="C164" s="1" t="s">
        <v>495</v>
      </c>
      <c r="D164" s="1"/>
      <c r="E164" s="1"/>
      <c r="F164" s="1"/>
      <c r="G164" s="1" t="s">
        <v>615</v>
      </c>
      <c r="H164" s="1"/>
      <c r="I164" s="1"/>
      <c r="J164" s="1"/>
      <c r="K164" s="1" t="s">
        <v>616</v>
      </c>
      <c r="L164" s="1"/>
      <c r="M164" s="1"/>
      <c r="N164" s="1"/>
      <c r="O164" s="48" t="s">
        <v>283</v>
      </c>
      <c r="P164" s="48"/>
      <c r="Q164" s="48"/>
      <c r="R164" s="48"/>
      <c r="S164" s="48"/>
      <c r="T164" s="48"/>
      <c r="U164" s="48"/>
      <c r="V164" s="48"/>
      <c r="W164" s="48"/>
      <c r="X164" s="49"/>
      <c r="Y164" s="49"/>
    </row>
    <row r="165" spans="1:25" ht="48" customHeight="1" x14ac:dyDescent="0.2">
      <c r="A165" s="35">
        <v>5</v>
      </c>
      <c r="B165" s="36" t="s">
        <v>284</v>
      </c>
      <c r="C165" s="1" t="s">
        <v>496</v>
      </c>
      <c r="D165" s="1"/>
      <c r="E165" s="1"/>
      <c r="F165" s="1"/>
      <c r="G165" s="1" t="s">
        <v>52</v>
      </c>
      <c r="H165" s="1"/>
      <c r="I165" s="1"/>
      <c r="J165" s="1"/>
      <c r="K165" s="1" t="s">
        <v>617</v>
      </c>
      <c r="L165" s="1"/>
      <c r="M165" s="1"/>
      <c r="N165" s="1"/>
      <c r="O165" s="48" t="s">
        <v>269</v>
      </c>
      <c r="P165" s="48"/>
      <c r="Q165" s="48"/>
      <c r="R165" s="48"/>
      <c r="S165" s="48"/>
      <c r="T165" s="48"/>
      <c r="U165" s="48"/>
      <c r="V165" s="48"/>
      <c r="W165" s="48"/>
      <c r="X165" s="49" t="s">
        <v>618</v>
      </c>
      <c r="Y165" s="49"/>
    </row>
    <row r="166" spans="1:25" ht="24" customHeight="1" x14ac:dyDescent="0.2"/>
    <row r="167" spans="1:25" ht="54" customHeight="1" x14ac:dyDescent="0.2">
      <c r="A167" s="37">
        <f>'Invetario de Tablas'!A22</f>
        <v>19</v>
      </c>
      <c r="B167" s="44" t="s">
        <v>177</v>
      </c>
      <c r="C167" s="6" t="str">
        <f>'Invetario de Tablas'!B22</f>
        <v>transaccion</v>
      </c>
      <c r="D167" s="6"/>
      <c r="E167" s="6"/>
      <c r="F167" s="6"/>
      <c r="G167" s="62" t="s">
        <v>178</v>
      </c>
      <c r="H167" s="62"/>
      <c r="I167" s="62"/>
      <c r="J167" s="62"/>
      <c r="K167" s="4" t="str">
        <f>'Invetario de Tablas'!C22</f>
        <v>Encabezado de la compraventa o contratación realizada.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5" t="s">
        <v>255</v>
      </c>
      <c r="Y167" s="32" t="s">
        <v>610</v>
      </c>
    </row>
    <row r="168" spans="1:25" ht="45" customHeight="1" x14ac:dyDescent="0.2">
      <c r="A168" s="46" t="s">
        <v>1</v>
      </c>
      <c r="B168" s="47" t="s">
        <v>257</v>
      </c>
      <c r="C168" s="63" t="s">
        <v>258</v>
      </c>
      <c r="D168" s="63"/>
      <c r="E168" s="63"/>
      <c r="F168" s="63"/>
      <c r="G168" s="63" t="s">
        <v>611</v>
      </c>
      <c r="H168" s="63"/>
      <c r="I168" s="63"/>
      <c r="J168" s="63"/>
      <c r="K168" s="63" t="s">
        <v>260</v>
      </c>
      <c r="L168" s="63"/>
      <c r="M168" s="63"/>
      <c r="N168" s="63"/>
      <c r="O168" s="63" t="s">
        <v>261</v>
      </c>
      <c r="P168" s="63"/>
      <c r="Q168" s="63"/>
      <c r="R168" s="63" t="s">
        <v>262</v>
      </c>
      <c r="S168" s="63"/>
      <c r="T168" s="63" t="s">
        <v>263</v>
      </c>
      <c r="U168" s="63"/>
      <c r="V168" s="63" t="s">
        <v>264</v>
      </c>
      <c r="W168" s="63"/>
      <c r="X168" s="64" t="s">
        <v>265</v>
      </c>
      <c r="Y168" s="64"/>
    </row>
    <row r="169" spans="1:25" ht="48" customHeight="1" x14ac:dyDescent="0.2">
      <c r="A169" s="35">
        <v>1</v>
      </c>
      <c r="B169" s="36" t="s">
        <v>497</v>
      </c>
      <c r="C169" s="1" t="s">
        <v>498</v>
      </c>
      <c r="D169" s="1"/>
      <c r="E169" s="1"/>
      <c r="F169" s="1"/>
      <c r="G169" s="1" t="s">
        <v>619</v>
      </c>
      <c r="H169" s="1"/>
      <c r="I169" s="1"/>
      <c r="J169" s="1"/>
      <c r="K169" s="1" t="s">
        <v>89</v>
      </c>
      <c r="L169" s="1"/>
      <c r="M169" s="1"/>
      <c r="N169" s="1"/>
      <c r="O169" s="48" t="s">
        <v>269</v>
      </c>
      <c r="P169" s="48"/>
      <c r="Q169" s="48"/>
      <c r="R169" s="48" t="s">
        <v>270</v>
      </c>
      <c r="S169" s="48"/>
      <c r="T169" s="48"/>
      <c r="U169" s="48"/>
      <c r="V169" s="48"/>
      <c r="W169" s="48"/>
      <c r="X169" s="49" t="s">
        <v>637</v>
      </c>
      <c r="Y169" s="49"/>
    </row>
    <row r="170" spans="1:25" ht="48" customHeight="1" x14ac:dyDescent="0.2">
      <c r="A170" s="35">
        <v>2</v>
      </c>
      <c r="B170" s="36" t="s">
        <v>499</v>
      </c>
      <c r="C170" s="1" t="s">
        <v>500</v>
      </c>
      <c r="D170" s="1"/>
      <c r="E170" s="1"/>
      <c r="F170" s="1"/>
      <c r="G170" s="1" t="s">
        <v>26</v>
      </c>
      <c r="H170" s="1"/>
      <c r="I170" s="1"/>
      <c r="J170" s="1"/>
      <c r="K170" s="1" t="s">
        <v>22</v>
      </c>
      <c r="L170" s="1"/>
      <c r="M170" s="1"/>
      <c r="N170" s="1"/>
      <c r="O170" s="48" t="s">
        <v>269</v>
      </c>
      <c r="P170" s="48"/>
      <c r="Q170" s="48"/>
      <c r="R170" s="48"/>
      <c r="S170" s="48"/>
      <c r="T170" s="48"/>
      <c r="U170" s="48"/>
      <c r="V170" s="48" t="s">
        <v>270</v>
      </c>
      <c r="W170" s="48"/>
      <c r="X170" s="49" t="s">
        <v>620</v>
      </c>
      <c r="Y170" s="49"/>
    </row>
    <row r="171" spans="1:25" ht="48" customHeight="1" x14ac:dyDescent="0.2">
      <c r="A171" s="35">
        <v>3</v>
      </c>
      <c r="B171" s="36" t="s">
        <v>501</v>
      </c>
      <c r="C171" s="1" t="s">
        <v>502</v>
      </c>
      <c r="D171" s="1"/>
      <c r="E171" s="1"/>
      <c r="F171" s="1"/>
      <c r="G171" s="1" t="s">
        <v>334</v>
      </c>
      <c r="H171" s="1"/>
      <c r="I171" s="1"/>
      <c r="J171" s="1"/>
      <c r="K171" s="1" t="s">
        <v>89</v>
      </c>
      <c r="L171" s="1"/>
      <c r="M171" s="1"/>
      <c r="N171" s="1"/>
      <c r="O171" s="48" t="s">
        <v>269</v>
      </c>
      <c r="P171" s="48"/>
      <c r="Q171" s="48"/>
      <c r="R171" s="48"/>
      <c r="S171" s="48"/>
      <c r="T171" s="48" t="s">
        <v>270</v>
      </c>
      <c r="U171" s="48"/>
      <c r="V171" s="48"/>
      <c r="W171" s="48"/>
      <c r="X171" s="49" t="s">
        <v>335</v>
      </c>
      <c r="Y171" s="49"/>
    </row>
    <row r="172" spans="1:25" ht="48" customHeight="1" x14ac:dyDescent="0.2">
      <c r="A172" s="35">
        <v>4</v>
      </c>
      <c r="B172" s="36" t="s">
        <v>488</v>
      </c>
      <c r="C172" s="1" t="s">
        <v>503</v>
      </c>
      <c r="D172" s="1"/>
      <c r="E172" s="1"/>
      <c r="F172" s="1"/>
      <c r="G172" s="1" t="s">
        <v>598</v>
      </c>
      <c r="H172" s="1"/>
      <c r="I172" s="1"/>
      <c r="J172" s="1"/>
      <c r="K172" s="1" t="s">
        <v>80</v>
      </c>
      <c r="L172" s="1"/>
      <c r="M172" s="1"/>
      <c r="N172" s="1"/>
      <c r="O172" s="48" t="s">
        <v>269</v>
      </c>
      <c r="P172" s="48"/>
      <c r="Q172" s="48"/>
      <c r="R172" s="48"/>
      <c r="S172" s="48"/>
      <c r="T172" s="48" t="s">
        <v>270</v>
      </c>
      <c r="U172" s="48"/>
      <c r="V172" s="48"/>
      <c r="W172" s="48"/>
      <c r="X172" s="49" t="s">
        <v>504</v>
      </c>
      <c r="Y172" s="49"/>
    </row>
    <row r="173" spans="1:25" ht="48" customHeight="1" x14ac:dyDescent="0.2">
      <c r="A173" s="35">
        <v>5</v>
      </c>
      <c r="B173" s="36" t="s">
        <v>505</v>
      </c>
      <c r="C173" s="1" t="s">
        <v>506</v>
      </c>
      <c r="D173" s="1"/>
      <c r="E173" s="1"/>
      <c r="F173" s="1"/>
      <c r="G173" s="1" t="s">
        <v>605</v>
      </c>
      <c r="H173" s="1"/>
      <c r="I173" s="1"/>
      <c r="J173" s="1"/>
      <c r="K173" s="1" t="s">
        <v>633</v>
      </c>
      <c r="L173" s="1"/>
      <c r="M173" s="1"/>
      <c r="N173" s="1"/>
      <c r="O173" s="48" t="s">
        <v>269</v>
      </c>
      <c r="P173" s="48"/>
      <c r="Q173" s="48"/>
      <c r="R173" s="48"/>
      <c r="S173" s="48"/>
      <c r="T173" s="48"/>
      <c r="U173" s="48"/>
      <c r="V173" s="48"/>
      <c r="W173" s="48"/>
      <c r="X173" s="49" t="s">
        <v>463</v>
      </c>
      <c r="Y173" s="49"/>
    </row>
    <row r="174" spans="1:25" ht="69" customHeight="1" x14ac:dyDescent="0.2">
      <c r="A174" s="35">
        <v>6</v>
      </c>
      <c r="B174" s="36" t="s">
        <v>507</v>
      </c>
      <c r="C174" s="1" t="s">
        <v>508</v>
      </c>
      <c r="D174" s="1"/>
      <c r="E174" s="1"/>
      <c r="F174" s="1"/>
      <c r="G174" s="1" t="s">
        <v>629</v>
      </c>
      <c r="H174" s="1"/>
      <c r="I174" s="1"/>
      <c r="J174" s="1"/>
      <c r="K174" s="1" t="s">
        <v>630</v>
      </c>
      <c r="L174" s="1"/>
      <c r="M174" s="1"/>
      <c r="N174" s="1"/>
      <c r="O174" s="48" t="s">
        <v>269</v>
      </c>
      <c r="P174" s="48"/>
      <c r="Q174" s="48"/>
      <c r="R174" s="48"/>
      <c r="S174" s="48"/>
      <c r="T174" s="48"/>
      <c r="U174" s="48"/>
      <c r="V174" s="48"/>
      <c r="W174" s="48"/>
      <c r="X174" s="49" t="s">
        <v>634</v>
      </c>
      <c r="Y174" s="49"/>
    </row>
    <row r="175" spans="1:25" ht="48" customHeight="1" x14ac:dyDescent="0.2">
      <c r="A175" s="35">
        <v>7</v>
      </c>
      <c r="B175" s="36" t="s">
        <v>511</v>
      </c>
      <c r="C175" s="1" t="s">
        <v>512</v>
      </c>
      <c r="D175" s="1"/>
      <c r="E175" s="1"/>
      <c r="F175" s="1"/>
      <c r="G175" s="1" t="s">
        <v>93</v>
      </c>
      <c r="H175" s="1"/>
      <c r="I175" s="1"/>
      <c r="J175" s="1"/>
      <c r="K175" s="1" t="s">
        <v>95</v>
      </c>
      <c r="L175" s="1"/>
      <c r="M175" s="1"/>
      <c r="N175" s="1"/>
      <c r="O175" s="48" t="s">
        <v>269</v>
      </c>
      <c r="P175" s="48"/>
      <c r="Q175" s="48"/>
      <c r="R175" s="48"/>
      <c r="S175" s="48"/>
      <c r="T175" s="48"/>
      <c r="U175" s="48"/>
      <c r="V175" s="48"/>
      <c r="W175" s="48"/>
      <c r="X175" s="49" t="s">
        <v>623</v>
      </c>
      <c r="Y175" s="49"/>
    </row>
    <row r="176" spans="1:25" ht="24" customHeight="1" x14ac:dyDescent="0.2"/>
    <row r="177" spans="1:25" ht="54" customHeight="1" x14ac:dyDescent="0.2">
      <c r="A177" s="37">
        <f>'Invetario de Tablas'!A23</f>
        <v>20</v>
      </c>
      <c r="B177" s="44" t="s">
        <v>177</v>
      </c>
      <c r="C177" s="6" t="str">
        <f>'Invetario de Tablas'!B23</f>
        <v>detalle_transaccion</v>
      </c>
      <c r="D177" s="6"/>
      <c r="E177" s="6"/>
      <c r="F177" s="6"/>
      <c r="G177" s="62" t="s">
        <v>178</v>
      </c>
      <c r="H177" s="62"/>
      <c r="I177" s="62"/>
      <c r="J177" s="62"/>
      <c r="K177" s="4" t="str">
        <f>'Invetario de Tablas'!C23</f>
        <v>Traza detallada de la venta (artículo, cantidad, precio unitario).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5" t="s">
        <v>255</v>
      </c>
      <c r="Y177" s="32" t="s">
        <v>610</v>
      </c>
    </row>
    <row r="178" spans="1:25" ht="45" customHeight="1" x14ac:dyDescent="0.2">
      <c r="A178" s="46" t="s">
        <v>1</v>
      </c>
      <c r="B178" s="47" t="s">
        <v>257</v>
      </c>
      <c r="C178" s="63" t="s">
        <v>258</v>
      </c>
      <c r="D178" s="63"/>
      <c r="E178" s="63"/>
      <c r="F178" s="63"/>
      <c r="G178" s="63" t="s">
        <v>611</v>
      </c>
      <c r="H178" s="63"/>
      <c r="I178" s="63"/>
      <c r="J178" s="63"/>
      <c r="K178" s="63" t="s">
        <v>260</v>
      </c>
      <c r="L178" s="63"/>
      <c r="M178" s="63"/>
      <c r="N178" s="63"/>
      <c r="O178" s="63" t="s">
        <v>261</v>
      </c>
      <c r="P178" s="63"/>
      <c r="Q178" s="63"/>
      <c r="R178" s="63" t="s">
        <v>262</v>
      </c>
      <c r="S178" s="63"/>
      <c r="T178" s="63" t="s">
        <v>263</v>
      </c>
      <c r="U178" s="63"/>
      <c r="V178" s="63" t="s">
        <v>264</v>
      </c>
      <c r="W178" s="63"/>
      <c r="X178" s="64" t="s">
        <v>265</v>
      </c>
      <c r="Y178" s="64"/>
    </row>
    <row r="179" spans="1:25" ht="48" customHeight="1" x14ac:dyDescent="0.2">
      <c r="A179" s="35">
        <v>1</v>
      </c>
      <c r="B179" s="36" t="s">
        <v>497</v>
      </c>
      <c r="C179" s="1" t="s">
        <v>513</v>
      </c>
      <c r="D179" s="1"/>
      <c r="E179" s="1"/>
      <c r="F179" s="1"/>
      <c r="G179" s="1" t="s">
        <v>334</v>
      </c>
      <c r="H179" s="1"/>
      <c r="I179" s="1"/>
      <c r="J179" s="1"/>
      <c r="K179" s="1" t="s">
        <v>89</v>
      </c>
      <c r="L179" s="1"/>
      <c r="M179" s="1"/>
      <c r="N179" s="1"/>
      <c r="O179" s="48" t="s">
        <v>269</v>
      </c>
      <c r="P179" s="48"/>
      <c r="Q179" s="48"/>
      <c r="R179" s="48" t="s">
        <v>270</v>
      </c>
      <c r="S179" s="48"/>
      <c r="T179" s="48" t="s">
        <v>270</v>
      </c>
      <c r="U179" s="48"/>
      <c r="V179" s="48"/>
      <c r="W179" s="48"/>
      <c r="X179" s="49" t="s">
        <v>514</v>
      </c>
      <c r="Y179" s="49"/>
    </row>
    <row r="180" spans="1:25" ht="48" customHeight="1" x14ac:dyDescent="0.2">
      <c r="A180" s="35">
        <v>2</v>
      </c>
      <c r="B180" s="36" t="s">
        <v>515</v>
      </c>
      <c r="C180" s="1" t="s">
        <v>516</v>
      </c>
      <c r="D180" s="1"/>
      <c r="E180" s="1"/>
      <c r="F180" s="1"/>
      <c r="G180" s="1" t="s">
        <v>598</v>
      </c>
      <c r="H180" s="1"/>
      <c r="I180" s="1"/>
      <c r="J180" s="1"/>
      <c r="K180" s="1" t="s">
        <v>80</v>
      </c>
      <c r="L180" s="1"/>
      <c r="M180" s="1"/>
      <c r="N180" s="1"/>
      <c r="O180" s="48" t="s">
        <v>269</v>
      </c>
      <c r="P180" s="48"/>
      <c r="Q180" s="48"/>
      <c r="R180" s="48" t="s">
        <v>270</v>
      </c>
      <c r="S180" s="48"/>
      <c r="T180" s="48"/>
      <c r="U180" s="48"/>
      <c r="V180" s="48"/>
      <c r="W180" s="48"/>
      <c r="X180" s="49" t="s">
        <v>380</v>
      </c>
      <c r="Y180" s="49"/>
    </row>
    <row r="181" spans="1:25" ht="69" customHeight="1" x14ac:dyDescent="0.2">
      <c r="A181" s="35">
        <v>3</v>
      </c>
      <c r="B181" s="36" t="s">
        <v>472</v>
      </c>
      <c r="C181" s="1" t="s">
        <v>517</v>
      </c>
      <c r="D181" s="1"/>
      <c r="E181" s="1"/>
      <c r="F181" s="1"/>
      <c r="G181" s="1" t="s">
        <v>334</v>
      </c>
      <c r="H181" s="1"/>
      <c r="I181" s="1"/>
      <c r="J181" s="1"/>
      <c r="K181" s="1" t="s">
        <v>89</v>
      </c>
      <c r="L181" s="1"/>
      <c r="M181" s="1"/>
      <c r="N181" s="1"/>
      <c r="O181" s="48" t="s">
        <v>283</v>
      </c>
      <c r="P181" s="48"/>
      <c r="Q181" s="48"/>
      <c r="R181" s="48"/>
      <c r="S181" s="48"/>
      <c r="T181" s="48" t="s">
        <v>270</v>
      </c>
      <c r="U181" s="48"/>
      <c r="V181" s="48"/>
      <c r="W181" s="48"/>
      <c r="X181" s="49" t="s">
        <v>518</v>
      </c>
      <c r="Y181" s="49"/>
    </row>
    <row r="182" spans="1:25" ht="69" customHeight="1" x14ac:dyDescent="0.2">
      <c r="A182" s="35">
        <v>4</v>
      </c>
      <c r="B182" s="36" t="s">
        <v>451</v>
      </c>
      <c r="C182" s="1" t="s">
        <v>519</v>
      </c>
      <c r="D182" s="1"/>
      <c r="E182" s="1"/>
      <c r="F182" s="1"/>
      <c r="G182" s="1" t="s">
        <v>334</v>
      </c>
      <c r="H182" s="1"/>
      <c r="I182" s="1"/>
      <c r="J182" s="1"/>
      <c r="K182" s="1" t="s">
        <v>89</v>
      </c>
      <c r="L182" s="1"/>
      <c r="M182" s="1"/>
      <c r="N182" s="1"/>
      <c r="O182" s="48" t="s">
        <v>283</v>
      </c>
      <c r="P182" s="48"/>
      <c r="Q182" s="48"/>
      <c r="R182" s="48"/>
      <c r="S182" s="48"/>
      <c r="T182" s="48" t="s">
        <v>270</v>
      </c>
      <c r="U182" s="48"/>
      <c r="V182" s="48"/>
      <c r="W182" s="48"/>
      <c r="X182" s="49" t="s">
        <v>520</v>
      </c>
      <c r="Y182" s="49"/>
    </row>
    <row r="183" spans="1:25" ht="48" customHeight="1" x14ac:dyDescent="0.2">
      <c r="A183" s="35">
        <v>5</v>
      </c>
      <c r="B183" s="36" t="s">
        <v>521</v>
      </c>
      <c r="C183" s="1" t="s">
        <v>522</v>
      </c>
      <c r="D183" s="1"/>
      <c r="E183" s="1"/>
      <c r="F183" s="1"/>
      <c r="G183" s="1" t="s">
        <v>598</v>
      </c>
      <c r="H183" s="1"/>
      <c r="I183" s="1"/>
      <c r="J183" s="1"/>
      <c r="K183" s="1" t="s">
        <v>80</v>
      </c>
      <c r="L183" s="1"/>
      <c r="M183" s="1"/>
      <c r="N183" s="1"/>
      <c r="O183" s="48" t="s">
        <v>269</v>
      </c>
      <c r="P183" s="48"/>
      <c r="Q183" s="48"/>
      <c r="R183" s="48"/>
      <c r="S183" s="48"/>
      <c r="T183" s="48"/>
      <c r="U183" s="48"/>
      <c r="V183" s="48"/>
      <c r="W183" s="48"/>
      <c r="X183" s="49" t="s">
        <v>523</v>
      </c>
      <c r="Y183" s="49"/>
    </row>
    <row r="184" spans="1:25" ht="48" customHeight="1" x14ac:dyDescent="0.2">
      <c r="A184" s="35">
        <v>6</v>
      </c>
      <c r="B184" s="36" t="s">
        <v>524</v>
      </c>
      <c r="C184" s="1" t="s">
        <v>525</v>
      </c>
      <c r="D184" s="1"/>
      <c r="E184" s="1"/>
      <c r="F184" s="1"/>
      <c r="G184" s="1" t="s">
        <v>605</v>
      </c>
      <c r="H184" s="1"/>
      <c r="I184" s="1"/>
      <c r="J184" s="1"/>
      <c r="K184" s="1" t="s">
        <v>633</v>
      </c>
      <c r="L184" s="1"/>
      <c r="M184" s="1"/>
      <c r="N184" s="1"/>
      <c r="O184" s="48" t="s">
        <v>269</v>
      </c>
      <c r="P184" s="48"/>
      <c r="Q184" s="48"/>
      <c r="R184" s="48"/>
      <c r="S184" s="48"/>
      <c r="T184" s="48"/>
      <c r="U184" s="48"/>
      <c r="V184" s="48"/>
      <c r="W184" s="48"/>
      <c r="X184" s="49" t="s">
        <v>463</v>
      </c>
      <c r="Y184" s="49"/>
    </row>
    <row r="185" spans="1:25" ht="24" customHeight="1" x14ac:dyDescent="0.2"/>
    <row r="186" spans="1:25" ht="54" customHeight="1" x14ac:dyDescent="0.2">
      <c r="A186" s="37">
        <f>'Invetario de Tablas'!A24</f>
        <v>21</v>
      </c>
      <c r="B186" s="44" t="s">
        <v>177</v>
      </c>
      <c r="C186" s="6" t="str">
        <f>'Invetario de Tablas'!B24</f>
        <v>tipo_evento</v>
      </c>
      <c r="D186" s="6"/>
      <c r="E186" s="6"/>
      <c r="F186" s="6"/>
      <c r="G186" s="62" t="s">
        <v>178</v>
      </c>
      <c r="H186" s="62"/>
      <c r="I186" s="62"/>
      <c r="J186" s="62"/>
      <c r="K186" s="4" t="str">
        <f>'Invetario de Tablas'!C24</f>
        <v>Catálogo de tipos de evento (taller, conferencia, reunión de estudio).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5" t="s">
        <v>255</v>
      </c>
      <c r="Y186" s="32" t="s">
        <v>610</v>
      </c>
    </row>
    <row r="187" spans="1:25" ht="45" customHeight="1" x14ac:dyDescent="0.2">
      <c r="A187" s="46" t="s">
        <v>1</v>
      </c>
      <c r="B187" s="47" t="s">
        <v>257</v>
      </c>
      <c r="C187" s="63" t="s">
        <v>258</v>
      </c>
      <c r="D187" s="63"/>
      <c r="E187" s="63"/>
      <c r="F187" s="63"/>
      <c r="G187" s="63" t="s">
        <v>611</v>
      </c>
      <c r="H187" s="63"/>
      <c r="I187" s="63"/>
      <c r="J187" s="63"/>
      <c r="K187" s="63" t="s">
        <v>260</v>
      </c>
      <c r="L187" s="63"/>
      <c r="M187" s="63"/>
      <c r="N187" s="63"/>
      <c r="O187" s="63" t="s">
        <v>261</v>
      </c>
      <c r="P187" s="63"/>
      <c r="Q187" s="63"/>
      <c r="R187" s="63" t="s">
        <v>262</v>
      </c>
      <c r="S187" s="63"/>
      <c r="T187" s="63" t="s">
        <v>263</v>
      </c>
      <c r="U187" s="63"/>
      <c r="V187" s="63" t="s">
        <v>264</v>
      </c>
      <c r="W187" s="63"/>
      <c r="X187" s="64" t="s">
        <v>265</v>
      </c>
      <c r="Y187" s="64"/>
    </row>
    <row r="188" spans="1:25" ht="48" customHeight="1" x14ac:dyDescent="0.2">
      <c r="A188" s="35">
        <v>1</v>
      </c>
      <c r="B188" s="36" t="s">
        <v>526</v>
      </c>
      <c r="C188" s="1" t="s">
        <v>527</v>
      </c>
      <c r="D188" s="1"/>
      <c r="E188" s="1"/>
      <c r="F188" s="1"/>
      <c r="G188" s="1" t="s">
        <v>612</v>
      </c>
      <c r="H188" s="1"/>
      <c r="I188" s="1"/>
      <c r="J188" s="1"/>
      <c r="K188" s="1" t="s">
        <v>80</v>
      </c>
      <c r="L188" s="1"/>
      <c r="M188" s="1"/>
      <c r="N188" s="1"/>
      <c r="O188" s="48" t="s">
        <v>269</v>
      </c>
      <c r="P188" s="48"/>
      <c r="Q188" s="48"/>
      <c r="R188" s="48" t="s">
        <v>270</v>
      </c>
      <c r="S188" s="48"/>
      <c r="T188" s="48"/>
      <c r="U188" s="48"/>
      <c r="V188" s="48"/>
      <c r="W188" s="48"/>
      <c r="X188" s="49" t="s">
        <v>637</v>
      </c>
      <c r="Y188" s="49"/>
    </row>
    <row r="189" spans="1:25" ht="48" customHeight="1" x14ac:dyDescent="0.2">
      <c r="A189" s="35">
        <v>2</v>
      </c>
      <c r="B189" s="36" t="s">
        <v>528</v>
      </c>
      <c r="C189" s="1" t="s">
        <v>529</v>
      </c>
      <c r="D189" s="1"/>
      <c r="E189" s="1"/>
      <c r="F189" s="1"/>
      <c r="G189" s="1" t="s">
        <v>627</v>
      </c>
      <c r="H189" s="1"/>
      <c r="I189" s="1"/>
      <c r="J189" s="1"/>
      <c r="K189" s="1" t="s">
        <v>628</v>
      </c>
      <c r="L189" s="1"/>
      <c r="M189" s="1"/>
      <c r="N189" s="1"/>
      <c r="O189" s="48" t="s">
        <v>269</v>
      </c>
      <c r="P189" s="48"/>
      <c r="Q189" s="48"/>
      <c r="R189" s="48"/>
      <c r="S189" s="48"/>
      <c r="T189" s="48"/>
      <c r="U189" s="48"/>
      <c r="V189" s="48" t="s">
        <v>270</v>
      </c>
      <c r="W189" s="48"/>
      <c r="X189" s="49"/>
      <c r="Y189" s="49"/>
    </row>
    <row r="190" spans="1:25" ht="69" customHeight="1" x14ac:dyDescent="0.2">
      <c r="A190" s="35">
        <v>3</v>
      </c>
      <c r="B190" s="36" t="s">
        <v>530</v>
      </c>
      <c r="C190" s="1" t="s">
        <v>531</v>
      </c>
      <c r="D190" s="1"/>
      <c r="E190" s="1"/>
      <c r="F190" s="1"/>
      <c r="G190" s="1" t="s">
        <v>615</v>
      </c>
      <c r="H190" s="1"/>
      <c r="I190" s="1"/>
      <c r="J190" s="1"/>
      <c r="K190" s="1" t="s">
        <v>616</v>
      </c>
      <c r="L190" s="1"/>
      <c r="M190" s="1"/>
      <c r="N190" s="1"/>
      <c r="O190" s="48" t="s">
        <v>283</v>
      </c>
      <c r="P190" s="48"/>
      <c r="Q190" s="48"/>
      <c r="R190" s="48"/>
      <c r="S190" s="48"/>
      <c r="T190" s="48"/>
      <c r="U190" s="48"/>
      <c r="V190" s="48"/>
      <c r="W190" s="48"/>
      <c r="X190" s="49"/>
      <c r="Y190" s="49"/>
    </row>
    <row r="191" spans="1:25" ht="48" customHeight="1" x14ac:dyDescent="0.2">
      <c r="A191" s="35">
        <v>4</v>
      </c>
      <c r="B191" s="36" t="s">
        <v>284</v>
      </c>
      <c r="C191" s="1" t="s">
        <v>361</v>
      </c>
      <c r="D191" s="1"/>
      <c r="E191" s="1"/>
      <c r="F191" s="1"/>
      <c r="G191" s="1" t="s">
        <v>52</v>
      </c>
      <c r="H191" s="1"/>
      <c r="I191" s="1"/>
      <c r="J191" s="1"/>
      <c r="K191" s="1" t="s">
        <v>617</v>
      </c>
      <c r="L191" s="1"/>
      <c r="M191" s="1"/>
      <c r="N191" s="1"/>
      <c r="O191" s="48" t="s">
        <v>269</v>
      </c>
      <c r="P191" s="48"/>
      <c r="Q191" s="48"/>
      <c r="R191" s="48"/>
      <c r="S191" s="48"/>
      <c r="T191" s="48"/>
      <c r="U191" s="48"/>
      <c r="V191" s="48"/>
      <c r="W191" s="48"/>
      <c r="X191" s="49" t="s">
        <v>618</v>
      </c>
      <c r="Y191" s="49"/>
    </row>
    <row r="192" spans="1:25" ht="24" customHeight="1" x14ac:dyDescent="0.2"/>
    <row r="193" spans="1:25" ht="54" customHeight="1" x14ac:dyDescent="0.2">
      <c r="A193" s="37">
        <f>'Invetario de Tablas'!A25</f>
        <v>22</v>
      </c>
      <c r="B193" s="44" t="s">
        <v>177</v>
      </c>
      <c r="C193" s="6" t="str">
        <f>'Invetario de Tablas'!B25</f>
        <v>evento</v>
      </c>
      <c r="D193" s="6"/>
      <c r="E193" s="6"/>
      <c r="F193" s="6"/>
      <c r="G193" s="62" t="s">
        <v>178</v>
      </c>
      <c r="H193" s="62"/>
      <c r="I193" s="62"/>
      <c r="J193" s="62"/>
      <c r="K193" s="4" t="str">
        <f>'Invetario de Tablas'!C25</f>
        <v>Eventos académicos o sociales organizados dentro de la comunidad.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5" t="s">
        <v>255</v>
      </c>
      <c r="Y193" s="32" t="s">
        <v>610</v>
      </c>
    </row>
    <row r="194" spans="1:25" ht="45" customHeight="1" x14ac:dyDescent="0.2">
      <c r="A194" s="46" t="s">
        <v>1</v>
      </c>
      <c r="B194" s="47" t="s">
        <v>257</v>
      </c>
      <c r="C194" s="63" t="s">
        <v>258</v>
      </c>
      <c r="D194" s="63"/>
      <c r="E194" s="63"/>
      <c r="F194" s="63"/>
      <c r="G194" s="63" t="s">
        <v>611</v>
      </c>
      <c r="H194" s="63"/>
      <c r="I194" s="63"/>
      <c r="J194" s="63"/>
      <c r="K194" s="63" t="s">
        <v>260</v>
      </c>
      <c r="L194" s="63"/>
      <c r="M194" s="63"/>
      <c r="N194" s="63"/>
      <c r="O194" s="63" t="s">
        <v>261</v>
      </c>
      <c r="P194" s="63"/>
      <c r="Q194" s="63"/>
      <c r="R194" s="63" t="s">
        <v>262</v>
      </c>
      <c r="S194" s="63"/>
      <c r="T194" s="63" t="s">
        <v>263</v>
      </c>
      <c r="U194" s="63"/>
      <c r="V194" s="63" t="s">
        <v>264</v>
      </c>
      <c r="W194" s="63"/>
      <c r="X194" s="64" t="s">
        <v>265</v>
      </c>
      <c r="Y194" s="64"/>
    </row>
    <row r="195" spans="1:25" ht="48" customHeight="1" x14ac:dyDescent="0.2">
      <c r="A195" s="35">
        <v>1</v>
      </c>
      <c r="B195" s="36" t="s">
        <v>532</v>
      </c>
      <c r="C195" s="1" t="s">
        <v>533</v>
      </c>
      <c r="D195" s="1"/>
      <c r="E195" s="1"/>
      <c r="F195" s="1"/>
      <c r="G195" s="1" t="s">
        <v>619</v>
      </c>
      <c r="H195" s="1"/>
      <c r="I195" s="1"/>
      <c r="J195" s="1"/>
      <c r="K195" s="1" t="s">
        <v>89</v>
      </c>
      <c r="L195" s="1"/>
      <c r="M195" s="1"/>
      <c r="N195" s="1"/>
      <c r="O195" s="48" t="s">
        <v>269</v>
      </c>
      <c r="P195" s="48"/>
      <c r="Q195" s="48"/>
      <c r="R195" s="48" t="s">
        <v>270</v>
      </c>
      <c r="S195" s="48"/>
      <c r="T195" s="48"/>
      <c r="U195" s="48"/>
      <c r="V195" s="48"/>
      <c r="W195" s="48"/>
      <c r="X195" s="49" t="s">
        <v>637</v>
      </c>
      <c r="Y195" s="49"/>
    </row>
    <row r="196" spans="1:25" ht="48" customHeight="1" x14ac:dyDescent="0.2">
      <c r="A196" s="35">
        <v>2</v>
      </c>
      <c r="B196" s="36" t="s">
        <v>534</v>
      </c>
      <c r="C196" s="1" t="s">
        <v>535</v>
      </c>
      <c r="D196" s="1"/>
      <c r="E196" s="1"/>
      <c r="F196" s="1"/>
      <c r="G196" s="1" t="s">
        <v>334</v>
      </c>
      <c r="H196" s="1"/>
      <c r="I196" s="1"/>
      <c r="J196" s="1"/>
      <c r="K196" s="1" t="s">
        <v>89</v>
      </c>
      <c r="L196" s="1"/>
      <c r="M196" s="1"/>
      <c r="N196" s="1"/>
      <c r="O196" s="48" t="s">
        <v>269</v>
      </c>
      <c r="P196" s="48"/>
      <c r="Q196" s="48"/>
      <c r="R196" s="48"/>
      <c r="S196" s="48"/>
      <c r="T196" s="48" t="s">
        <v>270</v>
      </c>
      <c r="U196" s="48"/>
      <c r="V196" s="48"/>
      <c r="W196" s="48"/>
      <c r="X196" s="49" t="s">
        <v>335</v>
      </c>
      <c r="Y196" s="49"/>
    </row>
    <row r="197" spans="1:25" ht="48" customHeight="1" x14ac:dyDescent="0.2">
      <c r="A197" s="35">
        <v>3</v>
      </c>
      <c r="B197" s="36" t="s">
        <v>526</v>
      </c>
      <c r="C197" s="1" t="s">
        <v>536</v>
      </c>
      <c r="D197" s="1"/>
      <c r="E197" s="1"/>
      <c r="F197" s="1"/>
      <c r="G197" s="1" t="s">
        <v>598</v>
      </c>
      <c r="H197" s="1"/>
      <c r="I197" s="1"/>
      <c r="J197" s="1"/>
      <c r="K197" s="1" t="s">
        <v>80</v>
      </c>
      <c r="L197" s="1"/>
      <c r="M197" s="1"/>
      <c r="N197" s="1"/>
      <c r="O197" s="48" t="s">
        <v>269</v>
      </c>
      <c r="P197" s="48"/>
      <c r="Q197" s="48"/>
      <c r="R197" s="48"/>
      <c r="S197" s="48"/>
      <c r="T197" s="48" t="s">
        <v>270</v>
      </c>
      <c r="U197" s="48"/>
      <c r="V197" s="48"/>
      <c r="W197" s="48"/>
      <c r="X197" s="49" t="s">
        <v>537</v>
      </c>
      <c r="Y197" s="49"/>
    </row>
    <row r="198" spans="1:25" ht="48" customHeight="1" x14ac:dyDescent="0.2">
      <c r="A198" s="35">
        <v>4</v>
      </c>
      <c r="B198" s="36" t="s">
        <v>538</v>
      </c>
      <c r="C198" s="1" t="s">
        <v>539</v>
      </c>
      <c r="D198" s="1"/>
      <c r="E198" s="1"/>
      <c r="F198" s="1"/>
      <c r="G198" s="1" t="s">
        <v>624</v>
      </c>
      <c r="H198" s="1"/>
      <c r="I198" s="1"/>
      <c r="J198" s="1"/>
      <c r="K198" s="1" t="s">
        <v>625</v>
      </c>
      <c r="L198" s="1"/>
      <c r="M198" s="1"/>
      <c r="N198" s="1"/>
      <c r="O198" s="48" t="s">
        <v>269</v>
      </c>
      <c r="P198" s="48"/>
      <c r="Q198" s="48"/>
      <c r="R198" s="48"/>
      <c r="S198" s="48"/>
      <c r="T198" s="48"/>
      <c r="U198" s="48"/>
      <c r="V198" s="48"/>
      <c r="W198" s="48"/>
      <c r="X198" s="49"/>
      <c r="Y198" s="49"/>
    </row>
    <row r="199" spans="1:25" ht="69" customHeight="1" x14ac:dyDescent="0.2">
      <c r="A199" s="35">
        <v>5</v>
      </c>
      <c r="B199" s="36" t="s">
        <v>540</v>
      </c>
      <c r="C199" s="1" t="s">
        <v>541</v>
      </c>
      <c r="D199" s="1"/>
      <c r="E199" s="1"/>
      <c r="F199" s="1"/>
      <c r="G199" s="1" t="s">
        <v>63</v>
      </c>
      <c r="H199" s="1"/>
      <c r="I199" s="1"/>
      <c r="J199" s="1"/>
      <c r="K199" s="1" t="s">
        <v>65</v>
      </c>
      <c r="L199" s="1"/>
      <c r="M199" s="1"/>
      <c r="N199" s="1"/>
      <c r="O199" s="48" t="s">
        <v>283</v>
      </c>
      <c r="P199" s="48"/>
      <c r="Q199" s="48"/>
      <c r="R199" s="48"/>
      <c r="S199" s="48"/>
      <c r="T199" s="48"/>
      <c r="U199" s="48"/>
      <c r="V199" s="48"/>
      <c r="W199" s="48"/>
      <c r="X199" s="49"/>
      <c r="Y199" s="49"/>
    </row>
    <row r="200" spans="1:25" ht="30" customHeight="1" x14ac:dyDescent="0.2">
      <c r="A200" s="35">
        <v>6</v>
      </c>
      <c r="B200" s="36" t="s">
        <v>542</v>
      </c>
      <c r="C200" s="1" t="s">
        <v>543</v>
      </c>
      <c r="D200" s="1"/>
      <c r="E200" s="1"/>
      <c r="F200" s="1"/>
      <c r="G200" s="1" t="s">
        <v>78</v>
      </c>
      <c r="H200" s="1"/>
      <c r="I200" s="1"/>
      <c r="J200" s="1"/>
      <c r="K200" s="1" t="s">
        <v>82</v>
      </c>
      <c r="L200" s="1"/>
      <c r="M200" s="1"/>
      <c r="N200" s="1"/>
      <c r="O200" s="48" t="s">
        <v>269</v>
      </c>
      <c r="P200" s="48"/>
      <c r="Q200" s="48"/>
      <c r="R200" s="48"/>
      <c r="S200" s="48"/>
      <c r="T200" s="48"/>
      <c r="U200" s="48"/>
      <c r="V200" s="48"/>
      <c r="W200" s="48"/>
      <c r="X200" s="49"/>
      <c r="Y200" s="49"/>
    </row>
    <row r="201" spans="1:25" ht="48" customHeight="1" x14ac:dyDescent="0.2">
      <c r="A201" s="35">
        <v>7</v>
      </c>
      <c r="B201" s="36" t="s">
        <v>544</v>
      </c>
      <c r="C201" s="1" t="s">
        <v>545</v>
      </c>
      <c r="D201" s="1"/>
      <c r="E201" s="1"/>
      <c r="F201" s="1"/>
      <c r="G201" s="1" t="s">
        <v>99</v>
      </c>
      <c r="H201" s="1"/>
      <c r="I201" s="1"/>
      <c r="J201" s="1"/>
      <c r="K201" s="1" t="s">
        <v>104</v>
      </c>
      <c r="L201" s="1"/>
      <c r="M201" s="1"/>
      <c r="N201" s="1"/>
      <c r="O201" s="48" t="s">
        <v>269</v>
      </c>
      <c r="P201" s="48"/>
      <c r="Q201" s="48"/>
      <c r="R201" s="48"/>
      <c r="S201" s="48"/>
      <c r="T201" s="48"/>
      <c r="U201" s="48"/>
      <c r="V201" s="48"/>
      <c r="W201" s="48"/>
      <c r="X201" s="49"/>
      <c r="Y201" s="49"/>
    </row>
    <row r="202" spans="1:25" ht="48" customHeight="1" x14ac:dyDescent="0.2">
      <c r="A202" s="35">
        <v>8</v>
      </c>
      <c r="B202" s="36" t="s">
        <v>546</v>
      </c>
      <c r="C202" s="1" t="s">
        <v>547</v>
      </c>
      <c r="D202" s="1"/>
      <c r="E202" s="1"/>
      <c r="F202" s="1"/>
      <c r="G202" s="1" t="s">
        <v>99</v>
      </c>
      <c r="H202" s="1"/>
      <c r="I202" s="1"/>
      <c r="J202" s="1"/>
      <c r="K202" s="1" t="s">
        <v>104</v>
      </c>
      <c r="L202" s="1"/>
      <c r="M202" s="1"/>
      <c r="N202" s="1"/>
      <c r="O202" s="48" t="s">
        <v>283</v>
      </c>
      <c r="P202" s="48"/>
      <c r="Q202" s="48"/>
      <c r="R202" s="48"/>
      <c r="S202" s="48"/>
      <c r="T202" s="48"/>
      <c r="U202" s="48"/>
      <c r="V202" s="48"/>
      <c r="W202" s="48"/>
      <c r="X202" s="49"/>
      <c r="Y202" s="49"/>
    </row>
    <row r="203" spans="1:25" ht="48" customHeight="1" x14ac:dyDescent="0.2">
      <c r="A203" s="35">
        <v>9</v>
      </c>
      <c r="B203" s="36" t="s">
        <v>548</v>
      </c>
      <c r="C203" s="1" t="s">
        <v>549</v>
      </c>
      <c r="D203" s="1"/>
      <c r="E203" s="1"/>
      <c r="F203" s="1"/>
      <c r="G203" s="1" t="s">
        <v>615</v>
      </c>
      <c r="H203" s="1"/>
      <c r="I203" s="1"/>
      <c r="J203" s="1"/>
      <c r="K203" s="1" t="s">
        <v>616</v>
      </c>
      <c r="L203" s="1"/>
      <c r="M203" s="1"/>
      <c r="N203" s="1"/>
      <c r="O203" s="48" t="s">
        <v>283</v>
      </c>
      <c r="P203" s="48"/>
      <c r="Q203" s="48"/>
      <c r="R203" s="48"/>
      <c r="S203" s="48"/>
      <c r="T203" s="48"/>
      <c r="U203" s="48"/>
      <c r="V203" s="48"/>
      <c r="W203" s="48"/>
      <c r="X203" s="49"/>
      <c r="Y203" s="49"/>
    </row>
    <row r="204" spans="1:25" ht="24" customHeight="1" x14ac:dyDescent="0.2"/>
    <row r="205" spans="1:25" ht="54" customHeight="1" x14ac:dyDescent="0.2">
      <c r="A205" s="37">
        <f>'Invetario de Tablas'!A26</f>
        <v>23</v>
      </c>
      <c r="B205" s="44" t="s">
        <v>177</v>
      </c>
      <c r="C205" s="6" t="str">
        <f>'Invetario de Tablas'!B26</f>
        <v>usuario_evento</v>
      </c>
      <c r="D205" s="6"/>
      <c r="E205" s="6"/>
      <c r="F205" s="6"/>
      <c r="G205" s="62" t="s">
        <v>178</v>
      </c>
      <c r="H205" s="62"/>
      <c r="I205" s="62"/>
      <c r="J205" s="62"/>
      <c r="K205" s="4" t="str">
        <f>'Invetario de Tablas'!C26</f>
        <v>Asistencia y participación de los usuarios en los eventos.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5" t="s">
        <v>255</v>
      </c>
      <c r="Y205" s="32" t="s">
        <v>610</v>
      </c>
    </row>
    <row r="206" spans="1:25" ht="45" customHeight="1" x14ac:dyDescent="0.2">
      <c r="A206" s="46" t="s">
        <v>1</v>
      </c>
      <c r="B206" s="47" t="s">
        <v>257</v>
      </c>
      <c r="C206" s="63" t="s">
        <v>258</v>
      </c>
      <c r="D206" s="63"/>
      <c r="E206" s="63"/>
      <c r="F206" s="63"/>
      <c r="G206" s="63" t="s">
        <v>611</v>
      </c>
      <c r="H206" s="63"/>
      <c r="I206" s="63"/>
      <c r="J206" s="63"/>
      <c r="K206" s="63" t="s">
        <v>260</v>
      </c>
      <c r="L206" s="63"/>
      <c r="M206" s="63"/>
      <c r="N206" s="63"/>
      <c r="O206" s="63" t="s">
        <v>261</v>
      </c>
      <c r="P206" s="63"/>
      <c r="Q206" s="63"/>
      <c r="R206" s="63" t="s">
        <v>262</v>
      </c>
      <c r="S206" s="63"/>
      <c r="T206" s="63" t="s">
        <v>263</v>
      </c>
      <c r="U206" s="63"/>
      <c r="V206" s="63" t="s">
        <v>264</v>
      </c>
      <c r="W206" s="63"/>
      <c r="X206" s="64" t="s">
        <v>265</v>
      </c>
      <c r="Y206" s="64"/>
    </row>
    <row r="207" spans="1:25" ht="30" customHeight="1" x14ac:dyDescent="0.2">
      <c r="A207" s="35">
        <v>1</v>
      </c>
      <c r="B207" s="36" t="s">
        <v>297</v>
      </c>
      <c r="C207" s="1" t="s">
        <v>550</v>
      </c>
      <c r="D207" s="1"/>
      <c r="E207" s="1"/>
      <c r="F207" s="1"/>
      <c r="G207" s="1" t="s">
        <v>334</v>
      </c>
      <c r="H207" s="1"/>
      <c r="I207" s="1"/>
      <c r="J207" s="1"/>
      <c r="K207" s="1" t="s">
        <v>89</v>
      </c>
      <c r="L207" s="1"/>
      <c r="M207" s="1"/>
      <c r="N207" s="1"/>
      <c r="O207" s="48" t="s">
        <v>269</v>
      </c>
      <c r="P207" s="48"/>
      <c r="Q207" s="48"/>
      <c r="R207" s="48" t="s">
        <v>270</v>
      </c>
      <c r="S207" s="48"/>
      <c r="T207" s="48" t="s">
        <v>270</v>
      </c>
      <c r="U207" s="48"/>
      <c r="V207" s="48"/>
      <c r="W207" s="48"/>
      <c r="X207" s="49" t="s">
        <v>335</v>
      </c>
      <c r="Y207" s="49"/>
    </row>
    <row r="208" spans="1:25" ht="48" customHeight="1" x14ac:dyDescent="0.2">
      <c r="A208" s="35">
        <v>2</v>
      </c>
      <c r="B208" s="36" t="s">
        <v>532</v>
      </c>
      <c r="C208" s="1" t="s">
        <v>551</v>
      </c>
      <c r="D208" s="1"/>
      <c r="E208" s="1"/>
      <c r="F208" s="1"/>
      <c r="G208" s="1" t="s">
        <v>334</v>
      </c>
      <c r="H208" s="1"/>
      <c r="I208" s="1"/>
      <c r="J208" s="1"/>
      <c r="K208" s="1" t="s">
        <v>89</v>
      </c>
      <c r="L208" s="1"/>
      <c r="M208" s="1"/>
      <c r="N208" s="1"/>
      <c r="O208" s="48" t="s">
        <v>269</v>
      </c>
      <c r="P208" s="48"/>
      <c r="Q208" s="48"/>
      <c r="R208" s="48" t="s">
        <v>270</v>
      </c>
      <c r="S208" s="48"/>
      <c r="T208" s="48" t="s">
        <v>270</v>
      </c>
      <c r="U208" s="48"/>
      <c r="V208" s="48"/>
      <c r="W208" s="48"/>
      <c r="X208" s="49" t="s">
        <v>552</v>
      </c>
      <c r="Y208" s="49"/>
    </row>
    <row r="209" spans="1:25" ht="48" customHeight="1" x14ac:dyDescent="0.2">
      <c r="A209" s="35">
        <v>3</v>
      </c>
      <c r="B209" s="36" t="s">
        <v>553</v>
      </c>
      <c r="C209" s="1" t="s">
        <v>554</v>
      </c>
      <c r="D209" s="1"/>
      <c r="E209" s="1"/>
      <c r="F209" s="1"/>
      <c r="G209" s="1" t="s">
        <v>93</v>
      </c>
      <c r="H209" s="1"/>
      <c r="I209" s="1"/>
      <c r="J209" s="1"/>
      <c r="K209" s="1" t="s">
        <v>95</v>
      </c>
      <c r="L209" s="1"/>
      <c r="M209" s="1"/>
      <c r="N209" s="1"/>
      <c r="O209" s="48" t="s">
        <v>269</v>
      </c>
      <c r="P209" s="48"/>
      <c r="Q209" s="48"/>
      <c r="R209" s="48"/>
      <c r="S209" s="48"/>
      <c r="T209" s="48"/>
      <c r="U209" s="48"/>
      <c r="V209" s="48"/>
      <c r="W209" s="48"/>
      <c r="X209" s="49" t="s">
        <v>623</v>
      </c>
      <c r="Y209" s="49"/>
    </row>
    <row r="210" spans="1:25" ht="48" customHeight="1" x14ac:dyDescent="0.2">
      <c r="A210" s="35">
        <v>4</v>
      </c>
      <c r="B210" s="36" t="s">
        <v>555</v>
      </c>
      <c r="C210" s="1" t="s">
        <v>556</v>
      </c>
      <c r="D210" s="1"/>
      <c r="E210" s="1"/>
      <c r="F210" s="1"/>
      <c r="G210" s="1" t="s">
        <v>52</v>
      </c>
      <c r="H210" s="1"/>
      <c r="I210" s="1"/>
      <c r="J210" s="1"/>
      <c r="K210" s="1" t="s">
        <v>617</v>
      </c>
      <c r="L210" s="1"/>
      <c r="M210" s="1"/>
      <c r="N210" s="1"/>
      <c r="O210" s="48" t="s">
        <v>269</v>
      </c>
      <c r="P210" s="48"/>
      <c r="Q210" s="48"/>
      <c r="R210" s="48"/>
      <c r="S210" s="48"/>
      <c r="T210" s="48"/>
      <c r="U210" s="48"/>
      <c r="V210" s="48"/>
      <c r="W210" s="48"/>
      <c r="X210" s="49" t="s">
        <v>635</v>
      </c>
      <c r="Y210" s="49"/>
    </row>
    <row r="211" spans="1:25" ht="24" customHeight="1" x14ac:dyDescent="0.2"/>
    <row r="212" spans="1:25" ht="54" customHeight="1" x14ac:dyDescent="0.2">
      <c r="A212" s="37">
        <f>'Invetario de Tablas'!A27</f>
        <v>24</v>
      </c>
      <c r="B212" s="44" t="s">
        <v>177</v>
      </c>
      <c r="C212" s="6" t="str">
        <f>'Invetario de Tablas'!B27</f>
        <v>solicitud_mentoria</v>
      </c>
      <c r="D212" s="6"/>
      <c r="E212" s="6"/>
      <c r="F212" s="6"/>
      <c r="G212" s="62" t="s">
        <v>178</v>
      </c>
      <c r="H212" s="62"/>
      <c r="I212" s="62"/>
      <c r="J212" s="62"/>
      <c r="K212" s="4" t="str">
        <f>'Invetario de Tablas'!C27</f>
        <v>Solicitudes de acompañamiento y mentoría entre estudiantes y pares.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5" t="s">
        <v>255</v>
      </c>
      <c r="Y212" s="32" t="s">
        <v>610</v>
      </c>
    </row>
    <row r="213" spans="1:25" ht="45" customHeight="1" x14ac:dyDescent="0.2">
      <c r="A213" s="46" t="s">
        <v>1</v>
      </c>
      <c r="B213" s="47" t="s">
        <v>257</v>
      </c>
      <c r="C213" s="63" t="s">
        <v>258</v>
      </c>
      <c r="D213" s="63"/>
      <c r="E213" s="63"/>
      <c r="F213" s="63"/>
      <c r="G213" s="63" t="s">
        <v>611</v>
      </c>
      <c r="H213" s="63"/>
      <c r="I213" s="63"/>
      <c r="J213" s="63"/>
      <c r="K213" s="63" t="s">
        <v>260</v>
      </c>
      <c r="L213" s="63"/>
      <c r="M213" s="63"/>
      <c r="N213" s="63"/>
      <c r="O213" s="63" t="s">
        <v>261</v>
      </c>
      <c r="P213" s="63"/>
      <c r="Q213" s="63"/>
      <c r="R213" s="63" t="s">
        <v>262</v>
      </c>
      <c r="S213" s="63"/>
      <c r="T213" s="63" t="s">
        <v>263</v>
      </c>
      <c r="U213" s="63"/>
      <c r="V213" s="63" t="s">
        <v>264</v>
      </c>
      <c r="W213" s="63"/>
      <c r="X213" s="64" t="s">
        <v>265</v>
      </c>
      <c r="Y213" s="64"/>
    </row>
    <row r="214" spans="1:25" ht="48" customHeight="1" x14ac:dyDescent="0.2">
      <c r="A214" s="35">
        <v>1</v>
      </c>
      <c r="B214" s="36" t="s">
        <v>558</v>
      </c>
      <c r="C214" s="1" t="s">
        <v>559</v>
      </c>
      <c r="D214" s="1"/>
      <c r="E214" s="1"/>
      <c r="F214" s="1"/>
      <c r="G214" s="1" t="s">
        <v>619</v>
      </c>
      <c r="H214" s="1"/>
      <c r="I214" s="1"/>
      <c r="J214" s="1"/>
      <c r="K214" s="1" t="s">
        <v>89</v>
      </c>
      <c r="L214" s="1"/>
      <c r="M214" s="1"/>
      <c r="N214" s="1"/>
      <c r="O214" s="48" t="s">
        <v>269</v>
      </c>
      <c r="P214" s="48"/>
      <c r="Q214" s="48"/>
      <c r="R214" s="48" t="s">
        <v>270</v>
      </c>
      <c r="S214" s="48"/>
      <c r="T214" s="48"/>
      <c r="U214" s="48"/>
      <c r="V214" s="48"/>
      <c r="W214" s="48"/>
      <c r="X214" s="49" t="s">
        <v>637</v>
      </c>
      <c r="Y214" s="49"/>
    </row>
    <row r="215" spans="1:25" ht="48" customHeight="1" x14ac:dyDescent="0.2">
      <c r="A215" s="35">
        <v>2</v>
      </c>
      <c r="B215" s="36" t="s">
        <v>560</v>
      </c>
      <c r="C215" s="1" t="s">
        <v>561</v>
      </c>
      <c r="D215" s="1"/>
      <c r="E215" s="1"/>
      <c r="F215" s="1"/>
      <c r="G215" s="1" t="s">
        <v>334</v>
      </c>
      <c r="H215" s="1"/>
      <c r="I215" s="1"/>
      <c r="J215" s="1"/>
      <c r="K215" s="1" t="s">
        <v>89</v>
      </c>
      <c r="L215" s="1"/>
      <c r="M215" s="1"/>
      <c r="N215" s="1"/>
      <c r="O215" s="48" t="s">
        <v>269</v>
      </c>
      <c r="P215" s="48"/>
      <c r="Q215" s="48"/>
      <c r="R215" s="48"/>
      <c r="S215" s="48"/>
      <c r="T215" s="48" t="s">
        <v>270</v>
      </c>
      <c r="U215" s="48"/>
      <c r="V215" s="48"/>
      <c r="W215" s="48"/>
      <c r="X215" s="49" t="s">
        <v>562</v>
      </c>
      <c r="Y215" s="49"/>
    </row>
    <row r="216" spans="1:25" ht="48" customHeight="1" x14ac:dyDescent="0.2">
      <c r="A216" s="35">
        <v>3</v>
      </c>
      <c r="B216" s="36" t="s">
        <v>563</v>
      </c>
      <c r="C216" s="1" t="s">
        <v>564</v>
      </c>
      <c r="D216" s="1"/>
      <c r="E216" s="1"/>
      <c r="F216" s="1"/>
      <c r="G216" s="1" t="s">
        <v>334</v>
      </c>
      <c r="H216" s="1"/>
      <c r="I216" s="1"/>
      <c r="J216" s="1"/>
      <c r="K216" s="1" t="s">
        <v>89</v>
      </c>
      <c r="L216" s="1"/>
      <c r="M216" s="1"/>
      <c r="N216" s="1"/>
      <c r="O216" s="48" t="s">
        <v>269</v>
      </c>
      <c r="P216" s="48"/>
      <c r="Q216" s="48"/>
      <c r="R216" s="48"/>
      <c r="S216" s="48"/>
      <c r="T216" s="48" t="s">
        <v>270</v>
      </c>
      <c r="U216" s="48"/>
      <c r="V216" s="48"/>
      <c r="W216" s="48"/>
      <c r="X216" s="49" t="s">
        <v>335</v>
      </c>
      <c r="Y216" s="49"/>
    </row>
    <row r="217" spans="1:25" ht="48" customHeight="1" x14ac:dyDescent="0.2">
      <c r="A217" s="35">
        <v>4</v>
      </c>
      <c r="B217" s="36" t="s">
        <v>565</v>
      </c>
      <c r="C217" s="1" t="s">
        <v>566</v>
      </c>
      <c r="D217" s="1"/>
      <c r="E217" s="1"/>
      <c r="F217" s="1"/>
      <c r="G217" s="1" t="s">
        <v>615</v>
      </c>
      <c r="H217" s="1"/>
      <c r="I217" s="1"/>
      <c r="J217" s="1"/>
      <c r="K217" s="1" t="s">
        <v>616</v>
      </c>
      <c r="L217" s="1"/>
      <c r="M217" s="1"/>
      <c r="N217" s="1"/>
      <c r="O217" s="48" t="s">
        <v>269</v>
      </c>
      <c r="P217" s="48"/>
      <c r="Q217" s="48"/>
      <c r="R217" s="48"/>
      <c r="S217" s="48"/>
      <c r="T217" s="48"/>
      <c r="U217" s="48"/>
      <c r="V217" s="48"/>
      <c r="W217" s="48"/>
      <c r="X217" s="49"/>
      <c r="Y217" s="49"/>
    </row>
    <row r="218" spans="1:25" ht="69" customHeight="1" x14ac:dyDescent="0.2">
      <c r="A218" s="35">
        <v>5</v>
      </c>
      <c r="B218" s="36" t="s">
        <v>567</v>
      </c>
      <c r="C218" s="1" t="s">
        <v>568</v>
      </c>
      <c r="D218" s="1"/>
      <c r="E218" s="1"/>
      <c r="F218" s="1"/>
      <c r="G218" s="1" t="s">
        <v>63</v>
      </c>
      <c r="H218" s="1"/>
      <c r="I218" s="1"/>
      <c r="J218" s="1"/>
      <c r="K218" s="1" t="s">
        <v>65</v>
      </c>
      <c r="L218" s="1"/>
      <c r="M218" s="1"/>
      <c r="N218" s="1"/>
      <c r="O218" s="48" t="s">
        <v>283</v>
      </c>
      <c r="P218" s="48"/>
      <c r="Q218" s="48"/>
      <c r="R218" s="48"/>
      <c r="S218" s="48"/>
      <c r="T218" s="48"/>
      <c r="U218" s="48"/>
      <c r="V218" s="48"/>
      <c r="W218" s="48"/>
      <c r="X218" s="49"/>
      <c r="Y218" s="49"/>
    </row>
    <row r="219" spans="1:25" ht="69" customHeight="1" x14ac:dyDescent="0.2">
      <c r="A219" s="35">
        <v>6</v>
      </c>
      <c r="B219" s="36" t="s">
        <v>569</v>
      </c>
      <c r="C219" s="1" t="s">
        <v>570</v>
      </c>
      <c r="D219" s="1"/>
      <c r="E219" s="1"/>
      <c r="F219" s="1"/>
      <c r="G219" s="1" t="s">
        <v>629</v>
      </c>
      <c r="H219" s="1"/>
      <c r="I219" s="1"/>
      <c r="J219" s="1"/>
      <c r="K219" s="1" t="s">
        <v>630</v>
      </c>
      <c r="L219" s="1"/>
      <c r="M219" s="1"/>
      <c r="N219" s="1"/>
      <c r="O219" s="48" t="s">
        <v>269</v>
      </c>
      <c r="P219" s="48"/>
      <c r="Q219" s="48"/>
      <c r="R219" s="48"/>
      <c r="S219" s="48"/>
      <c r="T219" s="48"/>
      <c r="U219" s="48"/>
      <c r="V219" s="48"/>
      <c r="W219" s="48"/>
      <c r="X219" s="49" t="s">
        <v>636</v>
      </c>
      <c r="Y219" s="49"/>
    </row>
    <row r="220" spans="1:25" ht="48" customHeight="1" x14ac:dyDescent="0.2">
      <c r="A220" s="35">
        <v>7</v>
      </c>
      <c r="B220" s="36" t="s">
        <v>573</v>
      </c>
      <c r="C220" s="1" t="s">
        <v>574</v>
      </c>
      <c r="D220" s="1"/>
      <c r="E220" s="1"/>
      <c r="F220" s="1"/>
      <c r="G220" s="1" t="s">
        <v>93</v>
      </c>
      <c r="H220" s="1"/>
      <c r="I220" s="1"/>
      <c r="J220" s="1"/>
      <c r="K220" s="1" t="s">
        <v>95</v>
      </c>
      <c r="L220" s="1"/>
      <c r="M220" s="1"/>
      <c r="N220" s="1"/>
      <c r="O220" s="48" t="s">
        <v>269</v>
      </c>
      <c r="P220" s="48"/>
      <c r="Q220" s="48"/>
      <c r="R220" s="48"/>
      <c r="S220" s="48"/>
      <c r="T220" s="48"/>
      <c r="U220" s="48"/>
      <c r="V220" s="48"/>
      <c r="W220" s="48"/>
      <c r="X220" s="49" t="s">
        <v>623</v>
      </c>
      <c r="Y220" s="49"/>
    </row>
    <row r="221" spans="1:25" ht="48" customHeight="1" x14ac:dyDescent="0.2">
      <c r="A221" s="35">
        <v>8</v>
      </c>
      <c r="B221" s="36" t="s">
        <v>575</v>
      </c>
      <c r="C221" s="1" t="s">
        <v>576</v>
      </c>
      <c r="D221" s="1"/>
      <c r="E221" s="1"/>
      <c r="F221" s="1"/>
      <c r="G221" s="1" t="s">
        <v>93</v>
      </c>
      <c r="H221" s="1"/>
      <c r="I221" s="1"/>
      <c r="J221" s="1"/>
      <c r="K221" s="1" t="s">
        <v>95</v>
      </c>
      <c r="L221" s="1"/>
      <c r="M221" s="1"/>
      <c r="N221" s="1"/>
      <c r="O221" s="48" t="s">
        <v>283</v>
      </c>
      <c r="P221" s="48"/>
      <c r="Q221" s="48"/>
      <c r="R221" s="48"/>
      <c r="S221" s="48"/>
      <c r="T221" s="48"/>
      <c r="U221" s="48"/>
      <c r="V221" s="48"/>
      <c r="W221" s="48"/>
      <c r="X221" s="49" t="s">
        <v>577</v>
      </c>
      <c r="Y221" s="49"/>
    </row>
    <row r="222" spans="1:25" ht="24" customHeight="1" x14ac:dyDescent="0.2"/>
    <row r="223" spans="1:25" ht="54" customHeight="1" x14ac:dyDescent="0.2">
      <c r="A223" s="37">
        <f>'Invetario de Tablas'!A28</f>
        <v>25</v>
      </c>
      <c r="B223" s="44" t="s">
        <v>177</v>
      </c>
      <c r="C223" s="6" t="str">
        <f>'Invetario de Tablas'!B28</f>
        <v>notificacion</v>
      </c>
      <c r="D223" s="6"/>
      <c r="E223" s="6"/>
      <c r="F223" s="6"/>
      <c r="G223" s="62" t="s">
        <v>178</v>
      </c>
      <c r="H223" s="62"/>
      <c r="I223" s="62"/>
      <c r="J223" s="62"/>
      <c r="K223" s="4" t="str">
        <f>'Invetario de Tablas'!C28</f>
        <v>Avisos e historial de alertas recibidas por los usuarios.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5" t="s">
        <v>255</v>
      </c>
      <c r="Y223" s="32" t="s">
        <v>610</v>
      </c>
    </row>
    <row r="224" spans="1:25" ht="45" customHeight="1" x14ac:dyDescent="0.2">
      <c r="A224" s="46" t="s">
        <v>1</v>
      </c>
      <c r="B224" s="47" t="s">
        <v>257</v>
      </c>
      <c r="C224" s="63" t="s">
        <v>258</v>
      </c>
      <c r="D224" s="63"/>
      <c r="E224" s="63"/>
      <c r="F224" s="63"/>
      <c r="G224" s="63" t="s">
        <v>611</v>
      </c>
      <c r="H224" s="63"/>
      <c r="I224" s="63"/>
      <c r="J224" s="63"/>
      <c r="K224" s="63" t="s">
        <v>260</v>
      </c>
      <c r="L224" s="63"/>
      <c r="M224" s="63"/>
      <c r="N224" s="63"/>
      <c r="O224" s="63" t="s">
        <v>261</v>
      </c>
      <c r="P224" s="63"/>
      <c r="Q224" s="63"/>
      <c r="R224" s="63" t="s">
        <v>262</v>
      </c>
      <c r="S224" s="63"/>
      <c r="T224" s="63" t="s">
        <v>263</v>
      </c>
      <c r="U224" s="63"/>
      <c r="V224" s="63" t="s">
        <v>264</v>
      </c>
      <c r="W224" s="63"/>
      <c r="X224" s="64" t="s">
        <v>265</v>
      </c>
      <c r="Y224" s="64"/>
    </row>
    <row r="225" spans="1:25" ht="48" customHeight="1" x14ac:dyDescent="0.2">
      <c r="A225" s="35">
        <v>1</v>
      </c>
      <c r="B225" s="36" t="s">
        <v>297</v>
      </c>
      <c r="C225" s="1" t="s">
        <v>578</v>
      </c>
      <c r="D225" s="1"/>
      <c r="E225" s="1"/>
      <c r="F225" s="1"/>
      <c r="G225" s="1" t="s">
        <v>334</v>
      </c>
      <c r="H225" s="1"/>
      <c r="I225" s="1"/>
      <c r="J225" s="1"/>
      <c r="K225" s="1" t="s">
        <v>89</v>
      </c>
      <c r="L225" s="1"/>
      <c r="M225" s="1"/>
      <c r="N225" s="1"/>
      <c r="O225" s="48" t="s">
        <v>269</v>
      </c>
      <c r="P225" s="48"/>
      <c r="Q225" s="48"/>
      <c r="R225" s="48" t="s">
        <v>270</v>
      </c>
      <c r="S225" s="48"/>
      <c r="T225" s="48" t="s">
        <v>270</v>
      </c>
      <c r="U225" s="48"/>
      <c r="V225" s="48"/>
      <c r="W225" s="48"/>
      <c r="X225" s="49" t="s">
        <v>335</v>
      </c>
      <c r="Y225" s="49"/>
    </row>
    <row r="226" spans="1:25" ht="48" customHeight="1" x14ac:dyDescent="0.2">
      <c r="A226" s="35">
        <v>2</v>
      </c>
      <c r="B226" s="36" t="s">
        <v>579</v>
      </c>
      <c r="C226" s="1" t="s">
        <v>580</v>
      </c>
      <c r="D226" s="1"/>
      <c r="E226" s="1"/>
      <c r="F226" s="1"/>
      <c r="G226" s="1" t="s">
        <v>598</v>
      </c>
      <c r="H226" s="1"/>
      <c r="I226" s="1"/>
      <c r="J226" s="1"/>
      <c r="K226" s="1" t="s">
        <v>80</v>
      </c>
      <c r="L226" s="1"/>
      <c r="M226" s="1"/>
      <c r="N226" s="1"/>
      <c r="O226" s="48" t="s">
        <v>269</v>
      </c>
      <c r="P226" s="48"/>
      <c r="Q226" s="48"/>
      <c r="R226" s="48" t="s">
        <v>270</v>
      </c>
      <c r="S226" s="48"/>
      <c r="T226" s="48"/>
      <c r="U226" s="48"/>
      <c r="V226" s="48"/>
      <c r="W226" s="48"/>
      <c r="X226" s="49" t="s">
        <v>380</v>
      </c>
      <c r="Y226" s="49"/>
    </row>
    <row r="227" spans="1:25" ht="48" customHeight="1" x14ac:dyDescent="0.2">
      <c r="A227" s="35">
        <v>3</v>
      </c>
      <c r="B227" s="36" t="s">
        <v>581</v>
      </c>
      <c r="C227" s="1" t="s">
        <v>582</v>
      </c>
      <c r="D227" s="1"/>
      <c r="E227" s="1"/>
      <c r="F227" s="1"/>
      <c r="G227" s="1" t="s">
        <v>624</v>
      </c>
      <c r="H227" s="1"/>
      <c r="I227" s="1"/>
      <c r="J227" s="1"/>
      <c r="K227" s="1" t="s">
        <v>625</v>
      </c>
      <c r="L227" s="1"/>
      <c r="M227" s="1"/>
      <c r="N227" s="1"/>
      <c r="O227" s="48" t="s">
        <v>269</v>
      </c>
      <c r="P227" s="48"/>
      <c r="Q227" s="48"/>
      <c r="R227" s="48"/>
      <c r="S227" s="48"/>
      <c r="T227" s="48"/>
      <c r="U227" s="48"/>
      <c r="V227" s="48"/>
      <c r="W227" s="48"/>
      <c r="X227" s="49"/>
      <c r="Y227" s="49"/>
    </row>
    <row r="228" spans="1:25" ht="69" customHeight="1" x14ac:dyDescent="0.2">
      <c r="A228" s="35">
        <v>4</v>
      </c>
      <c r="B228" s="36" t="s">
        <v>583</v>
      </c>
      <c r="C228" s="1" t="s">
        <v>584</v>
      </c>
      <c r="D228" s="1"/>
      <c r="E228" s="1"/>
      <c r="F228" s="1"/>
      <c r="G228" s="1" t="s">
        <v>63</v>
      </c>
      <c r="H228" s="1"/>
      <c r="I228" s="1"/>
      <c r="J228" s="1"/>
      <c r="K228" s="1" t="s">
        <v>65</v>
      </c>
      <c r="L228" s="1"/>
      <c r="M228" s="1"/>
      <c r="N228" s="1"/>
      <c r="O228" s="48" t="s">
        <v>269</v>
      </c>
      <c r="P228" s="48"/>
      <c r="Q228" s="48"/>
      <c r="R228" s="48"/>
      <c r="S228" s="48"/>
      <c r="T228" s="48"/>
      <c r="U228" s="48"/>
      <c r="V228" s="48"/>
      <c r="W228" s="48"/>
      <c r="X228" s="49"/>
      <c r="Y228" s="49"/>
    </row>
    <row r="229" spans="1:25" ht="48" customHeight="1" x14ac:dyDescent="0.2">
      <c r="A229" s="35">
        <v>5</v>
      </c>
      <c r="B229" s="36" t="s">
        <v>585</v>
      </c>
      <c r="C229" s="1" t="s">
        <v>586</v>
      </c>
      <c r="D229" s="1"/>
      <c r="E229" s="1"/>
      <c r="F229" s="1"/>
      <c r="G229" s="1" t="s">
        <v>52</v>
      </c>
      <c r="H229" s="1"/>
      <c r="I229" s="1"/>
      <c r="J229" s="1"/>
      <c r="K229" s="1" t="s">
        <v>617</v>
      </c>
      <c r="L229" s="1"/>
      <c r="M229" s="1"/>
      <c r="N229" s="1"/>
      <c r="O229" s="48" t="s">
        <v>269</v>
      </c>
      <c r="P229" s="48"/>
      <c r="Q229" s="48"/>
      <c r="R229" s="48"/>
      <c r="S229" s="48"/>
      <c r="T229" s="48"/>
      <c r="U229" s="48"/>
      <c r="V229" s="48"/>
      <c r="W229" s="48"/>
      <c r="X229" s="49" t="s">
        <v>635</v>
      </c>
      <c r="Y229" s="49"/>
    </row>
    <row r="230" spans="1:25" ht="48" customHeight="1" x14ac:dyDescent="0.2">
      <c r="A230" s="35">
        <v>6</v>
      </c>
      <c r="B230" s="36" t="s">
        <v>587</v>
      </c>
      <c r="C230" s="1" t="s">
        <v>588</v>
      </c>
      <c r="D230" s="1"/>
      <c r="E230" s="1"/>
      <c r="F230" s="1"/>
      <c r="G230" s="1" t="s">
        <v>93</v>
      </c>
      <c r="H230" s="1"/>
      <c r="I230" s="1"/>
      <c r="J230" s="1"/>
      <c r="K230" s="1" t="s">
        <v>95</v>
      </c>
      <c r="L230" s="1"/>
      <c r="M230" s="1"/>
      <c r="N230" s="1"/>
      <c r="O230" s="48" t="s">
        <v>269</v>
      </c>
      <c r="P230" s="48"/>
      <c r="Q230" s="48"/>
      <c r="R230" s="48"/>
      <c r="S230" s="48"/>
      <c r="T230" s="48"/>
      <c r="U230" s="48"/>
      <c r="V230" s="48"/>
      <c r="W230" s="48"/>
      <c r="X230" s="49" t="s">
        <v>623</v>
      </c>
      <c r="Y230" s="49"/>
    </row>
    <row r="231" spans="1:25" ht="24" customHeight="1" x14ac:dyDescent="0.2"/>
    <row r="232" spans="1:25" ht="15.75" customHeight="1" x14ac:dyDescent="0.2"/>
    <row r="233" spans="1:25" ht="15.75" customHeight="1" x14ac:dyDescent="0.2"/>
    <row r="234" spans="1:25" ht="15.75" customHeight="1" x14ac:dyDescent="0.2"/>
    <row r="235" spans="1:25" ht="15.75" customHeight="1" x14ac:dyDescent="0.2"/>
    <row r="236" spans="1:25" ht="15.75" customHeight="1" x14ac:dyDescent="0.2"/>
    <row r="237" spans="1:25" ht="15.75" customHeight="1" x14ac:dyDescent="0.2"/>
    <row r="238" spans="1:25" ht="15.75" customHeight="1" x14ac:dyDescent="0.2"/>
    <row r="239" spans="1:25" ht="15.75" customHeight="1" x14ac:dyDescent="0.2"/>
    <row r="240" spans="1:25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</sheetData>
  <mergeCells count="1501">
    <mergeCell ref="C229:F229"/>
    <mergeCell ref="G229:J229"/>
    <mergeCell ref="K229:N229"/>
    <mergeCell ref="O229:Q229"/>
    <mergeCell ref="R229:S229"/>
    <mergeCell ref="T229:U229"/>
    <mergeCell ref="V229:W229"/>
    <mergeCell ref="X229:Y229"/>
    <mergeCell ref="C230:F230"/>
    <mergeCell ref="G230:J230"/>
    <mergeCell ref="K230:N230"/>
    <mergeCell ref="O230:Q230"/>
    <mergeCell ref="R230:S230"/>
    <mergeCell ref="T230:U230"/>
    <mergeCell ref="V230:W230"/>
    <mergeCell ref="X230:Y230"/>
    <mergeCell ref="C226:F226"/>
    <mergeCell ref="G226:J226"/>
    <mergeCell ref="K226:N226"/>
    <mergeCell ref="O226:Q226"/>
    <mergeCell ref="R226:S226"/>
    <mergeCell ref="T226:U226"/>
    <mergeCell ref="V226:W226"/>
    <mergeCell ref="X226:Y226"/>
    <mergeCell ref="C227:F227"/>
    <mergeCell ref="G227:J227"/>
    <mergeCell ref="K227:N227"/>
    <mergeCell ref="O227:Q227"/>
    <mergeCell ref="R227:S227"/>
    <mergeCell ref="T227:U227"/>
    <mergeCell ref="V227:W227"/>
    <mergeCell ref="X227:Y227"/>
    <mergeCell ref="C228:F228"/>
    <mergeCell ref="G228:J228"/>
    <mergeCell ref="K228:N228"/>
    <mergeCell ref="O228:Q228"/>
    <mergeCell ref="R228:S228"/>
    <mergeCell ref="T228:U228"/>
    <mergeCell ref="V228:W228"/>
    <mergeCell ref="X228:Y228"/>
    <mergeCell ref="C223:F223"/>
    <mergeCell ref="G223:J223"/>
    <mergeCell ref="K223:W223"/>
    <mergeCell ref="C224:F224"/>
    <mergeCell ref="G224:J224"/>
    <mergeCell ref="K224:N224"/>
    <mergeCell ref="O224:Q224"/>
    <mergeCell ref="R224:S224"/>
    <mergeCell ref="T224:U224"/>
    <mergeCell ref="V224:W224"/>
    <mergeCell ref="X224:Y224"/>
    <mergeCell ref="C225:F225"/>
    <mergeCell ref="G225:J225"/>
    <mergeCell ref="K225:N225"/>
    <mergeCell ref="O225:Q225"/>
    <mergeCell ref="R225:S225"/>
    <mergeCell ref="T225:U225"/>
    <mergeCell ref="V225:W225"/>
    <mergeCell ref="X225:Y225"/>
    <mergeCell ref="C219:F219"/>
    <mergeCell ref="G219:J219"/>
    <mergeCell ref="K219:N219"/>
    <mergeCell ref="O219:Q219"/>
    <mergeCell ref="R219:S219"/>
    <mergeCell ref="T219:U219"/>
    <mergeCell ref="V219:W219"/>
    <mergeCell ref="X219:Y219"/>
    <mergeCell ref="C220:F220"/>
    <mergeCell ref="G220:J220"/>
    <mergeCell ref="K220:N220"/>
    <mergeCell ref="O220:Q220"/>
    <mergeCell ref="R220:S220"/>
    <mergeCell ref="T220:U220"/>
    <mergeCell ref="V220:W220"/>
    <mergeCell ref="X220:Y220"/>
    <mergeCell ref="C221:F221"/>
    <mergeCell ref="G221:J221"/>
    <mergeCell ref="K221:N221"/>
    <mergeCell ref="O221:Q221"/>
    <mergeCell ref="R221:S221"/>
    <mergeCell ref="T221:U221"/>
    <mergeCell ref="V221:W221"/>
    <mergeCell ref="X221:Y221"/>
    <mergeCell ref="C216:F216"/>
    <mergeCell ref="G216:J216"/>
    <mergeCell ref="K216:N216"/>
    <mergeCell ref="O216:Q216"/>
    <mergeCell ref="R216:S216"/>
    <mergeCell ref="T216:U216"/>
    <mergeCell ref="V216:W216"/>
    <mergeCell ref="X216:Y216"/>
    <mergeCell ref="C217:F217"/>
    <mergeCell ref="G217:J217"/>
    <mergeCell ref="K217:N217"/>
    <mergeCell ref="O217:Q217"/>
    <mergeCell ref="R217:S217"/>
    <mergeCell ref="T217:U217"/>
    <mergeCell ref="V217:W217"/>
    <mergeCell ref="X217:Y217"/>
    <mergeCell ref="C218:F218"/>
    <mergeCell ref="G218:J218"/>
    <mergeCell ref="K218:N218"/>
    <mergeCell ref="O218:Q218"/>
    <mergeCell ref="R218:S218"/>
    <mergeCell ref="T218:U218"/>
    <mergeCell ref="V218:W218"/>
    <mergeCell ref="X218:Y218"/>
    <mergeCell ref="C213:F213"/>
    <mergeCell ref="G213:J213"/>
    <mergeCell ref="K213:N213"/>
    <mergeCell ref="O213:Q213"/>
    <mergeCell ref="R213:S213"/>
    <mergeCell ref="T213:U213"/>
    <mergeCell ref="V213:W213"/>
    <mergeCell ref="X213:Y213"/>
    <mergeCell ref="C214:F214"/>
    <mergeCell ref="G214:J214"/>
    <mergeCell ref="K214:N214"/>
    <mergeCell ref="O214:Q214"/>
    <mergeCell ref="R214:S214"/>
    <mergeCell ref="T214:U214"/>
    <mergeCell ref="V214:W214"/>
    <mergeCell ref="X214:Y214"/>
    <mergeCell ref="C215:F215"/>
    <mergeCell ref="G215:J215"/>
    <mergeCell ref="K215:N215"/>
    <mergeCell ref="O215:Q215"/>
    <mergeCell ref="R215:S215"/>
    <mergeCell ref="T215:U215"/>
    <mergeCell ref="V215:W215"/>
    <mergeCell ref="X215:Y215"/>
    <mergeCell ref="C209:F209"/>
    <mergeCell ref="G209:J209"/>
    <mergeCell ref="K209:N209"/>
    <mergeCell ref="O209:Q209"/>
    <mergeCell ref="R209:S209"/>
    <mergeCell ref="T209:U209"/>
    <mergeCell ref="V209:W209"/>
    <mergeCell ref="X209:Y209"/>
    <mergeCell ref="C210:F210"/>
    <mergeCell ref="G210:J210"/>
    <mergeCell ref="K210:N210"/>
    <mergeCell ref="O210:Q210"/>
    <mergeCell ref="R210:S210"/>
    <mergeCell ref="T210:U210"/>
    <mergeCell ref="V210:W210"/>
    <mergeCell ref="X210:Y210"/>
    <mergeCell ref="C212:F212"/>
    <mergeCell ref="G212:J212"/>
    <mergeCell ref="K212:W212"/>
    <mergeCell ref="C206:F206"/>
    <mergeCell ref="G206:J206"/>
    <mergeCell ref="K206:N206"/>
    <mergeCell ref="O206:Q206"/>
    <mergeCell ref="R206:S206"/>
    <mergeCell ref="T206:U206"/>
    <mergeCell ref="V206:W206"/>
    <mergeCell ref="X206:Y206"/>
    <mergeCell ref="C207:F207"/>
    <mergeCell ref="G207:J207"/>
    <mergeCell ref="K207:N207"/>
    <mergeCell ref="O207:Q207"/>
    <mergeCell ref="R207:S207"/>
    <mergeCell ref="T207:U207"/>
    <mergeCell ref="V207:W207"/>
    <mergeCell ref="X207:Y207"/>
    <mergeCell ref="C208:F208"/>
    <mergeCell ref="G208:J208"/>
    <mergeCell ref="K208:N208"/>
    <mergeCell ref="O208:Q208"/>
    <mergeCell ref="R208:S208"/>
    <mergeCell ref="T208:U208"/>
    <mergeCell ref="V208:W208"/>
    <mergeCell ref="X208:Y208"/>
    <mergeCell ref="C202:F202"/>
    <mergeCell ref="G202:J202"/>
    <mergeCell ref="K202:N202"/>
    <mergeCell ref="O202:Q202"/>
    <mergeCell ref="R202:S202"/>
    <mergeCell ref="T202:U202"/>
    <mergeCell ref="V202:W202"/>
    <mergeCell ref="X202:Y202"/>
    <mergeCell ref="C203:F203"/>
    <mergeCell ref="G203:J203"/>
    <mergeCell ref="K203:N203"/>
    <mergeCell ref="O203:Q203"/>
    <mergeCell ref="R203:S203"/>
    <mergeCell ref="T203:U203"/>
    <mergeCell ref="V203:W203"/>
    <mergeCell ref="X203:Y203"/>
    <mergeCell ref="C205:F205"/>
    <mergeCell ref="G205:J205"/>
    <mergeCell ref="K205:W205"/>
    <mergeCell ref="C199:F199"/>
    <mergeCell ref="G199:J199"/>
    <mergeCell ref="K199:N199"/>
    <mergeCell ref="O199:Q199"/>
    <mergeCell ref="R199:S199"/>
    <mergeCell ref="T199:U199"/>
    <mergeCell ref="V199:W199"/>
    <mergeCell ref="X199:Y199"/>
    <mergeCell ref="C200:F200"/>
    <mergeCell ref="G200:J200"/>
    <mergeCell ref="K200:N200"/>
    <mergeCell ref="O200:Q200"/>
    <mergeCell ref="R200:S200"/>
    <mergeCell ref="T200:U200"/>
    <mergeCell ref="V200:W200"/>
    <mergeCell ref="X200:Y200"/>
    <mergeCell ref="C201:F201"/>
    <mergeCell ref="G201:J201"/>
    <mergeCell ref="K201:N201"/>
    <mergeCell ref="O201:Q201"/>
    <mergeCell ref="R201:S201"/>
    <mergeCell ref="T201:U201"/>
    <mergeCell ref="V201:W201"/>
    <mergeCell ref="X201:Y201"/>
    <mergeCell ref="C196:F196"/>
    <mergeCell ref="G196:J196"/>
    <mergeCell ref="K196:N196"/>
    <mergeCell ref="O196:Q196"/>
    <mergeCell ref="R196:S196"/>
    <mergeCell ref="T196:U196"/>
    <mergeCell ref="V196:W196"/>
    <mergeCell ref="X196:Y196"/>
    <mergeCell ref="C197:F197"/>
    <mergeCell ref="G197:J197"/>
    <mergeCell ref="K197:N197"/>
    <mergeCell ref="O197:Q197"/>
    <mergeCell ref="R197:S197"/>
    <mergeCell ref="T197:U197"/>
    <mergeCell ref="V197:W197"/>
    <mergeCell ref="X197:Y197"/>
    <mergeCell ref="C198:F198"/>
    <mergeCell ref="G198:J198"/>
    <mergeCell ref="K198:N198"/>
    <mergeCell ref="O198:Q198"/>
    <mergeCell ref="R198:S198"/>
    <mergeCell ref="T198:U198"/>
    <mergeCell ref="V198:W198"/>
    <mergeCell ref="X198:Y198"/>
    <mergeCell ref="C193:F193"/>
    <mergeCell ref="G193:J193"/>
    <mergeCell ref="K193:W193"/>
    <mergeCell ref="C194:F194"/>
    <mergeCell ref="G194:J194"/>
    <mergeCell ref="K194:N194"/>
    <mergeCell ref="O194:Q194"/>
    <mergeCell ref="R194:S194"/>
    <mergeCell ref="T194:U194"/>
    <mergeCell ref="V194:W194"/>
    <mergeCell ref="X194:Y194"/>
    <mergeCell ref="C195:F195"/>
    <mergeCell ref="G195:J195"/>
    <mergeCell ref="K195:N195"/>
    <mergeCell ref="O195:Q195"/>
    <mergeCell ref="R195:S195"/>
    <mergeCell ref="T195:U195"/>
    <mergeCell ref="V195:W195"/>
    <mergeCell ref="X195:Y195"/>
    <mergeCell ref="C189:F189"/>
    <mergeCell ref="G189:J189"/>
    <mergeCell ref="K189:N189"/>
    <mergeCell ref="O189:Q189"/>
    <mergeCell ref="R189:S189"/>
    <mergeCell ref="T189:U189"/>
    <mergeCell ref="V189:W189"/>
    <mergeCell ref="X189:Y189"/>
    <mergeCell ref="C190:F190"/>
    <mergeCell ref="G190:J190"/>
    <mergeCell ref="K190:N190"/>
    <mergeCell ref="O190:Q190"/>
    <mergeCell ref="R190:S190"/>
    <mergeCell ref="T190:U190"/>
    <mergeCell ref="V190:W190"/>
    <mergeCell ref="X190:Y190"/>
    <mergeCell ref="C191:F191"/>
    <mergeCell ref="G191:J191"/>
    <mergeCell ref="K191:N191"/>
    <mergeCell ref="O191:Q191"/>
    <mergeCell ref="R191:S191"/>
    <mergeCell ref="T191:U191"/>
    <mergeCell ref="V191:W191"/>
    <mergeCell ref="X191:Y191"/>
    <mergeCell ref="C186:F186"/>
    <mergeCell ref="G186:J186"/>
    <mergeCell ref="K186:W186"/>
    <mergeCell ref="C187:F187"/>
    <mergeCell ref="G187:J187"/>
    <mergeCell ref="K187:N187"/>
    <mergeCell ref="O187:Q187"/>
    <mergeCell ref="R187:S187"/>
    <mergeCell ref="T187:U187"/>
    <mergeCell ref="V187:W187"/>
    <mergeCell ref="X187:Y187"/>
    <mergeCell ref="C188:F188"/>
    <mergeCell ref="G188:J188"/>
    <mergeCell ref="K188:N188"/>
    <mergeCell ref="O188:Q188"/>
    <mergeCell ref="R188:S188"/>
    <mergeCell ref="T188:U188"/>
    <mergeCell ref="V188:W188"/>
    <mergeCell ref="X188:Y188"/>
    <mergeCell ref="C182:F182"/>
    <mergeCell ref="G182:J182"/>
    <mergeCell ref="K182:N182"/>
    <mergeCell ref="O182:Q182"/>
    <mergeCell ref="R182:S182"/>
    <mergeCell ref="T182:U182"/>
    <mergeCell ref="V182:W182"/>
    <mergeCell ref="X182:Y182"/>
    <mergeCell ref="C183:F183"/>
    <mergeCell ref="G183:J183"/>
    <mergeCell ref="K183:N183"/>
    <mergeCell ref="O183:Q183"/>
    <mergeCell ref="R183:S183"/>
    <mergeCell ref="T183:U183"/>
    <mergeCell ref="V183:W183"/>
    <mergeCell ref="X183:Y183"/>
    <mergeCell ref="C184:F184"/>
    <mergeCell ref="G184:J184"/>
    <mergeCell ref="K184:N184"/>
    <mergeCell ref="O184:Q184"/>
    <mergeCell ref="R184:S184"/>
    <mergeCell ref="T184:U184"/>
    <mergeCell ref="V184:W184"/>
    <mergeCell ref="X184:Y184"/>
    <mergeCell ref="C179:F179"/>
    <mergeCell ref="G179:J179"/>
    <mergeCell ref="K179:N179"/>
    <mergeCell ref="O179:Q179"/>
    <mergeCell ref="R179:S179"/>
    <mergeCell ref="T179:U179"/>
    <mergeCell ref="V179:W179"/>
    <mergeCell ref="X179:Y179"/>
    <mergeCell ref="C180:F180"/>
    <mergeCell ref="G180:J180"/>
    <mergeCell ref="K180:N180"/>
    <mergeCell ref="O180:Q180"/>
    <mergeCell ref="R180:S180"/>
    <mergeCell ref="T180:U180"/>
    <mergeCell ref="V180:W180"/>
    <mergeCell ref="X180:Y180"/>
    <mergeCell ref="C181:F181"/>
    <mergeCell ref="G181:J181"/>
    <mergeCell ref="K181:N181"/>
    <mergeCell ref="O181:Q181"/>
    <mergeCell ref="R181:S181"/>
    <mergeCell ref="T181:U181"/>
    <mergeCell ref="V181:W181"/>
    <mergeCell ref="X181:Y181"/>
    <mergeCell ref="C175:F175"/>
    <mergeCell ref="G175:J175"/>
    <mergeCell ref="K175:N175"/>
    <mergeCell ref="O175:Q175"/>
    <mergeCell ref="R175:S175"/>
    <mergeCell ref="T175:U175"/>
    <mergeCell ref="V175:W175"/>
    <mergeCell ref="X175:Y175"/>
    <mergeCell ref="C177:F177"/>
    <mergeCell ref="G177:J177"/>
    <mergeCell ref="K177:W177"/>
    <mergeCell ref="C178:F178"/>
    <mergeCell ref="G178:J178"/>
    <mergeCell ref="K178:N178"/>
    <mergeCell ref="O178:Q178"/>
    <mergeCell ref="R178:S178"/>
    <mergeCell ref="T178:U178"/>
    <mergeCell ref="V178:W178"/>
    <mergeCell ref="X178:Y178"/>
    <mergeCell ref="C172:F172"/>
    <mergeCell ref="G172:J172"/>
    <mergeCell ref="K172:N172"/>
    <mergeCell ref="O172:Q172"/>
    <mergeCell ref="R172:S172"/>
    <mergeCell ref="T172:U172"/>
    <mergeCell ref="V172:W172"/>
    <mergeCell ref="X172:Y172"/>
    <mergeCell ref="C173:F173"/>
    <mergeCell ref="G173:J173"/>
    <mergeCell ref="K173:N173"/>
    <mergeCell ref="O173:Q173"/>
    <mergeCell ref="R173:S173"/>
    <mergeCell ref="T173:U173"/>
    <mergeCell ref="V173:W173"/>
    <mergeCell ref="X173:Y173"/>
    <mergeCell ref="C174:F174"/>
    <mergeCell ref="G174:J174"/>
    <mergeCell ref="K174:N174"/>
    <mergeCell ref="O174:Q174"/>
    <mergeCell ref="R174:S174"/>
    <mergeCell ref="T174:U174"/>
    <mergeCell ref="V174:W174"/>
    <mergeCell ref="X174:Y174"/>
    <mergeCell ref="C169:F169"/>
    <mergeCell ref="G169:J169"/>
    <mergeCell ref="K169:N169"/>
    <mergeCell ref="O169:Q169"/>
    <mergeCell ref="R169:S169"/>
    <mergeCell ref="T169:U169"/>
    <mergeCell ref="V169:W169"/>
    <mergeCell ref="X169:Y169"/>
    <mergeCell ref="C170:F170"/>
    <mergeCell ref="G170:J170"/>
    <mergeCell ref="K170:N170"/>
    <mergeCell ref="O170:Q170"/>
    <mergeCell ref="R170:S170"/>
    <mergeCell ref="T170:U170"/>
    <mergeCell ref="V170:W170"/>
    <mergeCell ref="X170:Y170"/>
    <mergeCell ref="C171:F171"/>
    <mergeCell ref="G171:J171"/>
    <mergeCell ref="K171:N171"/>
    <mergeCell ref="O171:Q171"/>
    <mergeCell ref="R171:S171"/>
    <mergeCell ref="T171:U171"/>
    <mergeCell ref="V171:W171"/>
    <mergeCell ref="X171:Y171"/>
    <mergeCell ref="C165:F165"/>
    <mergeCell ref="G165:J165"/>
    <mergeCell ref="K165:N165"/>
    <mergeCell ref="O165:Q165"/>
    <mergeCell ref="R165:S165"/>
    <mergeCell ref="T165:U165"/>
    <mergeCell ref="V165:W165"/>
    <mergeCell ref="X165:Y165"/>
    <mergeCell ref="C167:F167"/>
    <mergeCell ref="G167:J167"/>
    <mergeCell ref="K167:W167"/>
    <mergeCell ref="C168:F168"/>
    <mergeCell ref="G168:J168"/>
    <mergeCell ref="K168:N168"/>
    <mergeCell ref="O168:Q168"/>
    <mergeCell ref="R168:S168"/>
    <mergeCell ref="T168:U168"/>
    <mergeCell ref="V168:W168"/>
    <mergeCell ref="X168:Y168"/>
    <mergeCell ref="C162:F162"/>
    <mergeCell ref="G162:J162"/>
    <mergeCell ref="K162:N162"/>
    <mergeCell ref="O162:Q162"/>
    <mergeCell ref="R162:S162"/>
    <mergeCell ref="T162:U162"/>
    <mergeCell ref="V162:W162"/>
    <mergeCell ref="X162:Y162"/>
    <mergeCell ref="C163:F163"/>
    <mergeCell ref="G163:J163"/>
    <mergeCell ref="K163:N163"/>
    <mergeCell ref="O163:Q163"/>
    <mergeCell ref="R163:S163"/>
    <mergeCell ref="T163:U163"/>
    <mergeCell ref="V163:W163"/>
    <mergeCell ref="X163:Y163"/>
    <mergeCell ref="C164:F164"/>
    <mergeCell ref="G164:J164"/>
    <mergeCell ref="K164:N164"/>
    <mergeCell ref="O164:Q164"/>
    <mergeCell ref="R164:S164"/>
    <mergeCell ref="T164:U164"/>
    <mergeCell ref="V164:W164"/>
    <mergeCell ref="X164:Y164"/>
    <mergeCell ref="C159:F159"/>
    <mergeCell ref="G159:J159"/>
    <mergeCell ref="K159:W159"/>
    <mergeCell ref="C160:F160"/>
    <mergeCell ref="G160:J160"/>
    <mergeCell ref="K160:N160"/>
    <mergeCell ref="O160:Q160"/>
    <mergeCell ref="R160:S160"/>
    <mergeCell ref="T160:U160"/>
    <mergeCell ref="V160:W160"/>
    <mergeCell ref="X160:Y160"/>
    <mergeCell ref="C161:F161"/>
    <mergeCell ref="G161:J161"/>
    <mergeCell ref="K161:N161"/>
    <mergeCell ref="O161:Q161"/>
    <mergeCell ref="R161:S161"/>
    <mergeCell ref="T161:U161"/>
    <mergeCell ref="V161:W161"/>
    <mergeCell ref="X161:Y161"/>
    <mergeCell ref="C155:F155"/>
    <mergeCell ref="G155:J155"/>
    <mergeCell ref="K155:N155"/>
    <mergeCell ref="O155:Q155"/>
    <mergeCell ref="R155:S155"/>
    <mergeCell ref="T155:U155"/>
    <mergeCell ref="V155:W155"/>
    <mergeCell ref="X155:Y155"/>
    <mergeCell ref="C156:F156"/>
    <mergeCell ref="G156:J156"/>
    <mergeCell ref="K156:N156"/>
    <mergeCell ref="O156:Q156"/>
    <mergeCell ref="R156:S156"/>
    <mergeCell ref="T156:U156"/>
    <mergeCell ref="V156:W156"/>
    <mergeCell ref="X156:Y156"/>
    <mergeCell ref="C157:F157"/>
    <mergeCell ref="G157:J157"/>
    <mergeCell ref="K157:N157"/>
    <mergeCell ref="O157:Q157"/>
    <mergeCell ref="R157:S157"/>
    <mergeCell ref="T157:U157"/>
    <mergeCell ref="V157:W157"/>
    <mergeCell ref="X157:Y157"/>
    <mergeCell ref="C152:F152"/>
    <mergeCell ref="G152:J152"/>
    <mergeCell ref="K152:N152"/>
    <mergeCell ref="O152:Q152"/>
    <mergeCell ref="R152:S152"/>
    <mergeCell ref="T152:U152"/>
    <mergeCell ref="V152:W152"/>
    <mergeCell ref="X152:Y152"/>
    <mergeCell ref="C153:F153"/>
    <mergeCell ref="G153:J153"/>
    <mergeCell ref="K153:N153"/>
    <mergeCell ref="O153:Q153"/>
    <mergeCell ref="R153:S153"/>
    <mergeCell ref="T153:U153"/>
    <mergeCell ref="V153:W153"/>
    <mergeCell ref="X153:Y153"/>
    <mergeCell ref="C154:F154"/>
    <mergeCell ref="G154:J154"/>
    <mergeCell ref="K154:N154"/>
    <mergeCell ref="O154:Q154"/>
    <mergeCell ref="R154:S154"/>
    <mergeCell ref="T154:U154"/>
    <mergeCell ref="V154:W154"/>
    <mergeCell ref="X154:Y154"/>
    <mergeCell ref="C149:F149"/>
    <mergeCell ref="G149:J149"/>
    <mergeCell ref="K149:N149"/>
    <mergeCell ref="O149:Q149"/>
    <mergeCell ref="R149:S149"/>
    <mergeCell ref="T149:U149"/>
    <mergeCell ref="V149:W149"/>
    <mergeCell ref="X149:Y149"/>
    <mergeCell ref="C150:F150"/>
    <mergeCell ref="G150:J150"/>
    <mergeCell ref="K150:N150"/>
    <mergeCell ref="O150:Q150"/>
    <mergeCell ref="R150:S150"/>
    <mergeCell ref="T150:U150"/>
    <mergeCell ref="V150:W150"/>
    <mergeCell ref="X150:Y150"/>
    <mergeCell ref="C151:F151"/>
    <mergeCell ref="G151:J151"/>
    <mergeCell ref="K151:N151"/>
    <mergeCell ref="O151:Q151"/>
    <mergeCell ref="R151:S151"/>
    <mergeCell ref="T151:U151"/>
    <mergeCell ref="V151:W151"/>
    <mergeCell ref="X151:Y151"/>
    <mergeCell ref="C146:F146"/>
    <mergeCell ref="G146:J146"/>
    <mergeCell ref="K146:W146"/>
    <mergeCell ref="C147:F147"/>
    <mergeCell ref="G147:J147"/>
    <mergeCell ref="K147:N147"/>
    <mergeCell ref="O147:Q147"/>
    <mergeCell ref="R147:S147"/>
    <mergeCell ref="T147:U147"/>
    <mergeCell ref="V147:W147"/>
    <mergeCell ref="X147:Y147"/>
    <mergeCell ref="C148:F148"/>
    <mergeCell ref="G148:J148"/>
    <mergeCell ref="K148:N148"/>
    <mergeCell ref="O148:Q148"/>
    <mergeCell ref="R148:S148"/>
    <mergeCell ref="T148:U148"/>
    <mergeCell ref="V148:W148"/>
    <mergeCell ref="X148:Y148"/>
    <mergeCell ref="C142:F142"/>
    <mergeCell ref="G142:J142"/>
    <mergeCell ref="K142:N142"/>
    <mergeCell ref="O142:Q142"/>
    <mergeCell ref="R142:S142"/>
    <mergeCell ref="T142:U142"/>
    <mergeCell ref="V142:W142"/>
    <mergeCell ref="X142:Y142"/>
    <mergeCell ref="C143:F143"/>
    <mergeCell ref="G143:J143"/>
    <mergeCell ref="K143:N143"/>
    <mergeCell ref="O143:Q143"/>
    <mergeCell ref="R143:S143"/>
    <mergeCell ref="T143:U143"/>
    <mergeCell ref="V143:W143"/>
    <mergeCell ref="X143:Y143"/>
    <mergeCell ref="C144:F144"/>
    <mergeCell ref="G144:J144"/>
    <mergeCell ref="K144:N144"/>
    <mergeCell ref="O144:Q144"/>
    <mergeCell ref="R144:S144"/>
    <mergeCell ref="T144:U144"/>
    <mergeCell ref="V144:W144"/>
    <mergeCell ref="X144:Y144"/>
    <mergeCell ref="C139:F139"/>
    <mergeCell ref="G139:J139"/>
    <mergeCell ref="K139:W139"/>
    <mergeCell ref="C140:F140"/>
    <mergeCell ref="G140:J140"/>
    <mergeCell ref="K140:N140"/>
    <mergeCell ref="O140:Q140"/>
    <mergeCell ref="R140:S140"/>
    <mergeCell ref="T140:U140"/>
    <mergeCell ref="V140:W140"/>
    <mergeCell ref="X140:Y140"/>
    <mergeCell ref="C141:F141"/>
    <mergeCell ref="G141:J141"/>
    <mergeCell ref="K141:N141"/>
    <mergeCell ref="O141:Q141"/>
    <mergeCell ref="R141:S141"/>
    <mergeCell ref="T141:U141"/>
    <mergeCell ref="V141:W141"/>
    <mergeCell ref="X141:Y141"/>
    <mergeCell ref="C135:F135"/>
    <mergeCell ref="G135:J135"/>
    <mergeCell ref="K135:N135"/>
    <mergeCell ref="O135:Q135"/>
    <mergeCell ref="R135:S135"/>
    <mergeCell ref="T135:U135"/>
    <mergeCell ref="V135:W135"/>
    <mergeCell ref="X135:Y135"/>
    <mergeCell ref="C136:F136"/>
    <mergeCell ref="G136:J136"/>
    <mergeCell ref="K136:N136"/>
    <mergeCell ref="O136:Q136"/>
    <mergeCell ref="R136:S136"/>
    <mergeCell ref="T136:U136"/>
    <mergeCell ref="V136:W136"/>
    <mergeCell ref="X136:Y136"/>
    <mergeCell ref="C137:F137"/>
    <mergeCell ref="G137:J137"/>
    <mergeCell ref="K137:N137"/>
    <mergeCell ref="O137:Q137"/>
    <mergeCell ref="R137:S137"/>
    <mergeCell ref="T137:U137"/>
    <mergeCell ref="V137:W137"/>
    <mergeCell ref="X137:Y137"/>
    <mergeCell ref="C132:F132"/>
    <mergeCell ref="G132:J132"/>
    <mergeCell ref="K132:N132"/>
    <mergeCell ref="O132:Q132"/>
    <mergeCell ref="R132:S132"/>
    <mergeCell ref="T132:U132"/>
    <mergeCell ref="V132:W132"/>
    <mergeCell ref="X132:Y132"/>
    <mergeCell ref="C133:F133"/>
    <mergeCell ref="G133:J133"/>
    <mergeCell ref="K133:N133"/>
    <mergeCell ref="O133:Q133"/>
    <mergeCell ref="R133:S133"/>
    <mergeCell ref="T133:U133"/>
    <mergeCell ref="V133:W133"/>
    <mergeCell ref="X133:Y133"/>
    <mergeCell ref="C134:F134"/>
    <mergeCell ref="G134:J134"/>
    <mergeCell ref="K134:N134"/>
    <mergeCell ref="O134:Q134"/>
    <mergeCell ref="R134:S134"/>
    <mergeCell ref="T134:U134"/>
    <mergeCell ref="V134:W134"/>
    <mergeCell ref="X134:Y134"/>
    <mergeCell ref="C129:F129"/>
    <mergeCell ref="G129:J129"/>
    <mergeCell ref="K129:N129"/>
    <mergeCell ref="O129:Q129"/>
    <mergeCell ref="R129:S129"/>
    <mergeCell ref="T129:U129"/>
    <mergeCell ref="V129:W129"/>
    <mergeCell ref="X129:Y129"/>
    <mergeCell ref="C130:F130"/>
    <mergeCell ref="G130:J130"/>
    <mergeCell ref="K130:N130"/>
    <mergeCell ref="O130:Q130"/>
    <mergeCell ref="R130:S130"/>
    <mergeCell ref="T130:U130"/>
    <mergeCell ref="V130:W130"/>
    <mergeCell ref="X130:Y130"/>
    <mergeCell ref="C131:F131"/>
    <mergeCell ref="G131:J131"/>
    <mergeCell ref="K131:N131"/>
    <mergeCell ref="O131:Q131"/>
    <mergeCell ref="R131:S131"/>
    <mergeCell ref="T131:U131"/>
    <mergeCell ref="V131:W131"/>
    <mergeCell ref="X131:Y131"/>
    <mergeCell ref="C125:F125"/>
    <mergeCell ref="G125:J125"/>
    <mergeCell ref="K125:N125"/>
    <mergeCell ref="O125:Q125"/>
    <mergeCell ref="R125:S125"/>
    <mergeCell ref="T125:U125"/>
    <mergeCell ref="V125:W125"/>
    <mergeCell ref="X125:Y125"/>
    <mergeCell ref="C126:F126"/>
    <mergeCell ref="G126:J126"/>
    <mergeCell ref="K126:N126"/>
    <mergeCell ref="O126:Q126"/>
    <mergeCell ref="R126:S126"/>
    <mergeCell ref="T126:U126"/>
    <mergeCell ref="V126:W126"/>
    <mergeCell ref="X126:Y126"/>
    <mergeCell ref="C128:F128"/>
    <mergeCell ref="G128:J128"/>
    <mergeCell ref="K128:W128"/>
    <mergeCell ref="C122:F122"/>
    <mergeCell ref="G122:J122"/>
    <mergeCell ref="K122:N122"/>
    <mergeCell ref="O122:Q122"/>
    <mergeCell ref="R122:S122"/>
    <mergeCell ref="T122:U122"/>
    <mergeCell ref="V122:W122"/>
    <mergeCell ref="X122:Y122"/>
    <mergeCell ref="C123:F123"/>
    <mergeCell ref="G123:J123"/>
    <mergeCell ref="K123:N123"/>
    <mergeCell ref="O123:Q123"/>
    <mergeCell ref="R123:S123"/>
    <mergeCell ref="T123:U123"/>
    <mergeCell ref="V123:W123"/>
    <mergeCell ref="X123:Y123"/>
    <mergeCell ref="C124:F124"/>
    <mergeCell ref="G124:J124"/>
    <mergeCell ref="K124:N124"/>
    <mergeCell ref="O124:Q124"/>
    <mergeCell ref="R124:S124"/>
    <mergeCell ref="T124:U124"/>
    <mergeCell ref="V124:W124"/>
    <mergeCell ref="X124:Y124"/>
    <mergeCell ref="C118:F118"/>
    <mergeCell ref="G118:J118"/>
    <mergeCell ref="K118:N118"/>
    <mergeCell ref="O118:Q118"/>
    <mergeCell ref="R118:S118"/>
    <mergeCell ref="T118:U118"/>
    <mergeCell ref="V118:W118"/>
    <mergeCell ref="X118:Y118"/>
    <mergeCell ref="C119:F119"/>
    <mergeCell ref="G119:J119"/>
    <mergeCell ref="K119:N119"/>
    <mergeCell ref="O119:Q119"/>
    <mergeCell ref="R119:S119"/>
    <mergeCell ref="T119:U119"/>
    <mergeCell ref="V119:W119"/>
    <mergeCell ref="X119:Y119"/>
    <mergeCell ref="C121:F121"/>
    <mergeCell ref="G121:J121"/>
    <mergeCell ref="K121:W121"/>
    <mergeCell ref="C115:F115"/>
    <mergeCell ref="G115:J115"/>
    <mergeCell ref="K115:N115"/>
    <mergeCell ref="O115:Q115"/>
    <mergeCell ref="R115:S115"/>
    <mergeCell ref="T115:U115"/>
    <mergeCell ref="V115:W115"/>
    <mergeCell ref="X115:Y115"/>
    <mergeCell ref="C116:F116"/>
    <mergeCell ref="G116:J116"/>
    <mergeCell ref="K116:N116"/>
    <mergeCell ref="O116:Q116"/>
    <mergeCell ref="R116:S116"/>
    <mergeCell ref="T116:U116"/>
    <mergeCell ref="V116:W116"/>
    <mergeCell ref="X116:Y116"/>
    <mergeCell ref="C117:F117"/>
    <mergeCell ref="G117:J117"/>
    <mergeCell ref="K117:N117"/>
    <mergeCell ref="O117:Q117"/>
    <mergeCell ref="R117:S117"/>
    <mergeCell ref="T117:U117"/>
    <mergeCell ref="V117:W117"/>
    <mergeCell ref="X117:Y117"/>
    <mergeCell ref="C111:F111"/>
    <mergeCell ref="G111:J111"/>
    <mergeCell ref="K111:N111"/>
    <mergeCell ref="O111:Q111"/>
    <mergeCell ref="R111:S111"/>
    <mergeCell ref="T111:U111"/>
    <mergeCell ref="V111:W111"/>
    <mergeCell ref="X111:Y111"/>
    <mergeCell ref="C113:F113"/>
    <mergeCell ref="G113:J113"/>
    <mergeCell ref="K113:W113"/>
    <mergeCell ref="C114:F114"/>
    <mergeCell ref="G114:J114"/>
    <mergeCell ref="K114:N114"/>
    <mergeCell ref="O114:Q114"/>
    <mergeCell ref="R114:S114"/>
    <mergeCell ref="T114:U114"/>
    <mergeCell ref="V114:W114"/>
    <mergeCell ref="X114:Y114"/>
    <mergeCell ref="C108:F108"/>
    <mergeCell ref="G108:J108"/>
    <mergeCell ref="K108:N108"/>
    <mergeCell ref="O108:Q108"/>
    <mergeCell ref="R108:S108"/>
    <mergeCell ref="T108:U108"/>
    <mergeCell ref="V108:W108"/>
    <mergeCell ref="X108:Y108"/>
    <mergeCell ref="C109:F109"/>
    <mergeCell ref="G109:J109"/>
    <mergeCell ref="K109:N109"/>
    <mergeCell ref="O109:Q109"/>
    <mergeCell ref="R109:S109"/>
    <mergeCell ref="T109:U109"/>
    <mergeCell ref="V109:W109"/>
    <mergeCell ref="X109:Y109"/>
    <mergeCell ref="C110:F110"/>
    <mergeCell ref="G110:J110"/>
    <mergeCell ref="K110:N110"/>
    <mergeCell ref="O110:Q110"/>
    <mergeCell ref="R110:S110"/>
    <mergeCell ref="T110:U110"/>
    <mergeCell ref="V110:W110"/>
    <mergeCell ref="X110:Y110"/>
    <mergeCell ref="C105:F105"/>
    <mergeCell ref="G105:J105"/>
    <mergeCell ref="K105:N105"/>
    <mergeCell ref="O105:Q105"/>
    <mergeCell ref="R105:S105"/>
    <mergeCell ref="T105:U105"/>
    <mergeCell ref="V105:W105"/>
    <mergeCell ref="X105:Y105"/>
    <mergeCell ref="C106:F106"/>
    <mergeCell ref="G106:J106"/>
    <mergeCell ref="K106:N106"/>
    <mergeCell ref="O106:Q106"/>
    <mergeCell ref="R106:S106"/>
    <mergeCell ref="T106:U106"/>
    <mergeCell ref="V106:W106"/>
    <mergeCell ref="X106:Y106"/>
    <mergeCell ref="C107:F107"/>
    <mergeCell ref="G107:J107"/>
    <mergeCell ref="K107:N107"/>
    <mergeCell ref="O107:Q107"/>
    <mergeCell ref="R107:S107"/>
    <mergeCell ref="T107:U107"/>
    <mergeCell ref="V107:W107"/>
    <mergeCell ref="X107:Y107"/>
    <mergeCell ref="C102:F102"/>
    <mergeCell ref="G102:J102"/>
    <mergeCell ref="K102:W102"/>
    <mergeCell ref="C103:F103"/>
    <mergeCell ref="G103:J103"/>
    <mergeCell ref="K103:N103"/>
    <mergeCell ref="O103:Q103"/>
    <mergeCell ref="R103:S103"/>
    <mergeCell ref="T103:U103"/>
    <mergeCell ref="V103:W103"/>
    <mergeCell ref="X103:Y103"/>
    <mergeCell ref="C104:F104"/>
    <mergeCell ref="G104:J104"/>
    <mergeCell ref="K104:N104"/>
    <mergeCell ref="O104:Q104"/>
    <mergeCell ref="R104:S104"/>
    <mergeCell ref="T104:U104"/>
    <mergeCell ref="V104:W104"/>
    <mergeCell ref="X104:Y104"/>
    <mergeCell ref="C98:F98"/>
    <mergeCell ref="G98:J98"/>
    <mergeCell ref="K98:N98"/>
    <mergeCell ref="O98:Q98"/>
    <mergeCell ref="R98:S98"/>
    <mergeCell ref="T98:U98"/>
    <mergeCell ref="V98:W98"/>
    <mergeCell ref="X98:Y98"/>
    <mergeCell ref="C99:F99"/>
    <mergeCell ref="G99:J99"/>
    <mergeCell ref="K99:N99"/>
    <mergeCell ref="O99:Q99"/>
    <mergeCell ref="R99:S99"/>
    <mergeCell ref="T99:U99"/>
    <mergeCell ref="V99:W99"/>
    <mergeCell ref="X99:Y99"/>
    <mergeCell ref="C100:F100"/>
    <mergeCell ref="G100:J100"/>
    <mergeCell ref="K100:N100"/>
    <mergeCell ref="O100:Q100"/>
    <mergeCell ref="R100:S100"/>
    <mergeCell ref="T100:U100"/>
    <mergeCell ref="V100:W100"/>
    <mergeCell ref="X100:Y100"/>
    <mergeCell ref="C95:F95"/>
    <mergeCell ref="G95:J95"/>
    <mergeCell ref="K95:W95"/>
    <mergeCell ref="C96:F96"/>
    <mergeCell ref="G96:J96"/>
    <mergeCell ref="K96:N96"/>
    <mergeCell ref="O96:Q96"/>
    <mergeCell ref="R96:S96"/>
    <mergeCell ref="T96:U96"/>
    <mergeCell ref="V96:W96"/>
    <mergeCell ref="X96:Y96"/>
    <mergeCell ref="C97:F97"/>
    <mergeCell ref="G97:J97"/>
    <mergeCell ref="K97:N97"/>
    <mergeCell ref="O97:Q97"/>
    <mergeCell ref="R97:S97"/>
    <mergeCell ref="T97:U97"/>
    <mergeCell ref="V97:W97"/>
    <mergeCell ref="X97:Y97"/>
    <mergeCell ref="C91:F91"/>
    <mergeCell ref="G91:J91"/>
    <mergeCell ref="K91:N91"/>
    <mergeCell ref="O91:Q91"/>
    <mergeCell ref="R91:S91"/>
    <mergeCell ref="T91:U91"/>
    <mergeCell ref="V91:W91"/>
    <mergeCell ref="X91:Y91"/>
    <mergeCell ref="C92:F92"/>
    <mergeCell ref="G92:J92"/>
    <mergeCell ref="K92:N92"/>
    <mergeCell ref="O92:Q92"/>
    <mergeCell ref="R92:S92"/>
    <mergeCell ref="T92:U92"/>
    <mergeCell ref="V92:W92"/>
    <mergeCell ref="X92:Y92"/>
    <mergeCell ref="C93:F93"/>
    <mergeCell ref="G93:J93"/>
    <mergeCell ref="K93:N93"/>
    <mergeCell ref="O93:Q93"/>
    <mergeCell ref="R93:S93"/>
    <mergeCell ref="T93:U93"/>
    <mergeCell ref="V93:W93"/>
    <mergeCell ref="X93:Y93"/>
    <mergeCell ref="C88:F88"/>
    <mergeCell ref="G88:J88"/>
    <mergeCell ref="K88:N88"/>
    <mergeCell ref="O88:Q88"/>
    <mergeCell ref="R88:S88"/>
    <mergeCell ref="T88:U88"/>
    <mergeCell ref="V88:W88"/>
    <mergeCell ref="X88:Y88"/>
    <mergeCell ref="C89:F89"/>
    <mergeCell ref="G89:J89"/>
    <mergeCell ref="K89:N89"/>
    <mergeCell ref="O89:Q89"/>
    <mergeCell ref="R89:S89"/>
    <mergeCell ref="T89:U89"/>
    <mergeCell ref="V89:W89"/>
    <mergeCell ref="X89:Y89"/>
    <mergeCell ref="C90:F90"/>
    <mergeCell ref="G90:J90"/>
    <mergeCell ref="K90:N90"/>
    <mergeCell ref="O90:Q90"/>
    <mergeCell ref="R90:S90"/>
    <mergeCell ref="T90:U90"/>
    <mergeCell ref="V90:W90"/>
    <mergeCell ref="X90:Y90"/>
    <mergeCell ref="C84:F84"/>
    <mergeCell ref="G84:J84"/>
    <mergeCell ref="K84:N84"/>
    <mergeCell ref="O84:Q84"/>
    <mergeCell ref="R84:S84"/>
    <mergeCell ref="T84:U84"/>
    <mergeCell ref="V84:W84"/>
    <mergeCell ref="X84:Y84"/>
    <mergeCell ref="C86:F86"/>
    <mergeCell ref="G86:J86"/>
    <mergeCell ref="K86:W86"/>
    <mergeCell ref="C87:F87"/>
    <mergeCell ref="G87:J87"/>
    <mergeCell ref="K87:N87"/>
    <mergeCell ref="O87:Q87"/>
    <mergeCell ref="R87:S87"/>
    <mergeCell ref="T87:U87"/>
    <mergeCell ref="V87:W87"/>
    <mergeCell ref="X87:Y87"/>
    <mergeCell ref="C81:F81"/>
    <mergeCell ref="G81:J81"/>
    <mergeCell ref="K81:N81"/>
    <mergeCell ref="O81:Q81"/>
    <mergeCell ref="R81:S81"/>
    <mergeCell ref="T81:U81"/>
    <mergeCell ref="V81:W81"/>
    <mergeCell ref="X81:Y81"/>
    <mergeCell ref="C82:F82"/>
    <mergeCell ref="G82:J82"/>
    <mergeCell ref="K82:N82"/>
    <mergeCell ref="O82:Q82"/>
    <mergeCell ref="R82:S82"/>
    <mergeCell ref="T82:U82"/>
    <mergeCell ref="V82:W82"/>
    <mergeCell ref="X82:Y82"/>
    <mergeCell ref="C83:F83"/>
    <mergeCell ref="G83:J83"/>
    <mergeCell ref="K83:N83"/>
    <mergeCell ref="O83:Q83"/>
    <mergeCell ref="R83:S83"/>
    <mergeCell ref="T83:U83"/>
    <mergeCell ref="V83:W83"/>
    <mergeCell ref="X83:Y83"/>
    <mergeCell ref="C77:F77"/>
    <mergeCell ref="G77:J77"/>
    <mergeCell ref="K77:N77"/>
    <mergeCell ref="O77:Q77"/>
    <mergeCell ref="R77:S77"/>
    <mergeCell ref="T77:U77"/>
    <mergeCell ref="V77:W77"/>
    <mergeCell ref="X77:Y77"/>
    <mergeCell ref="C79:F79"/>
    <mergeCell ref="G79:J79"/>
    <mergeCell ref="K79:W79"/>
    <mergeCell ref="C80:F80"/>
    <mergeCell ref="G80:J80"/>
    <mergeCell ref="K80:N80"/>
    <mergeCell ref="O80:Q80"/>
    <mergeCell ref="R80:S80"/>
    <mergeCell ref="T80:U80"/>
    <mergeCell ref="V80:W80"/>
    <mergeCell ref="X80:Y80"/>
    <mergeCell ref="C74:F74"/>
    <mergeCell ref="G74:J74"/>
    <mergeCell ref="K74:N74"/>
    <mergeCell ref="O74:Q74"/>
    <mergeCell ref="R74:S74"/>
    <mergeCell ref="T74:U74"/>
    <mergeCell ref="V74:W74"/>
    <mergeCell ref="X74:Y74"/>
    <mergeCell ref="C75:F75"/>
    <mergeCell ref="G75:J75"/>
    <mergeCell ref="K75:N75"/>
    <mergeCell ref="O75:Q75"/>
    <mergeCell ref="R75:S75"/>
    <mergeCell ref="T75:U75"/>
    <mergeCell ref="V75:W75"/>
    <mergeCell ref="X75:Y75"/>
    <mergeCell ref="C76:F76"/>
    <mergeCell ref="G76:J76"/>
    <mergeCell ref="K76:N76"/>
    <mergeCell ref="O76:Q76"/>
    <mergeCell ref="R76:S76"/>
    <mergeCell ref="T76:U76"/>
    <mergeCell ref="V76:W76"/>
    <mergeCell ref="X76:Y76"/>
    <mergeCell ref="C71:F71"/>
    <mergeCell ref="G71:J71"/>
    <mergeCell ref="K71:W71"/>
    <mergeCell ref="C72:F72"/>
    <mergeCell ref="G72:J72"/>
    <mergeCell ref="K72:N72"/>
    <mergeCell ref="O72:Q72"/>
    <mergeCell ref="R72:S72"/>
    <mergeCell ref="T72:U72"/>
    <mergeCell ref="V72:W72"/>
    <mergeCell ref="X72:Y72"/>
    <mergeCell ref="C73:F73"/>
    <mergeCell ref="G73:J73"/>
    <mergeCell ref="K73:N73"/>
    <mergeCell ref="O73:Q73"/>
    <mergeCell ref="R73:S73"/>
    <mergeCell ref="T73:U73"/>
    <mergeCell ref="V73:W73"/>
    <mergeCell ref="X73:Y73"/>
    <mergeCell ref="C67:F67"/>
    <mergeCell ref="G67:J67"/>
    <mergeCell ref="K67:N67"/>
    <mergeCell ref="O67:Q67"/>
    <mergeCell ref="R67:S67"/>
    <mergeCell ref="T67:U67"/>
    <mergeCell ref="V67:W67"/>
    <mergeCell ref="X67:Y67"/>
    <mergeCell ref="C68:F68"/>
    <mergeCell ref="G68:J68"/>
    <mergeCell ref="K68:N68"/>
    <mergeCell ref="O68:Q68"/>
    <mergeCell ref="R68:S68"/>
    <mergeCell ref="T68:U68"/>
    <mergeCell ref="V68:W68"/>
    <mergeCell ref="X68:Y68"/>
    <mergeCell ref="C69:F69"/>
    <mergeCell ref="G69:J69"/>
    <mergeCell ref="K69:N69"/>
    <mergeCell ref="O69:Q69"/>
    <mergeCell ref="R69:S69"/>
    <mergeCell ref="T69:U69"/>
    <mergeCell ref="V69:W69"/>
    <mergeCell ref="X69:Y69"/>
    <mergeCell ref="C64:F64"/>
    <mergeCell ref="G64:J64"/>
    <mergeCell ref="K64:N64"/>
    <mergeCell ref="O64:Q64"/>
    <mergeCell ref="R64:S64"/>
    <mergeCell ref="T64:U64"/>
    <mergeCell ref="V64:W64"/>
    <mergeCell ref="X64:Y64"/>
    <mergeCell ref="C65:F65"/>
    <mergeCell ref="G65:J65"/>
    <mergeCell ref="K65:N65"/>
    <mergeCell ref="O65:Q65"/>
    <mergeCell ref="R65:S65"/>
    <mergeCell ref="T65:U65"/>
    <mergeCell ref="V65:W65"/>
    <mergeCell ref="X65:Y65"/>
    <mergeCell ref="C66:F66"/>
    <mergeCell ref="G66:J66"/>
    <mergeCell ref="K66:N66"/>
    <mergeCell ref="O66:Q66"/>
    <mergeCell ref="R66:S66"/>
    <mergeCell ref="T66:U66"/>
    <mergeCell ref="V66:W66"/>
    <mergeCell ref="X66:Y66"/>
    <mergeCell ref="C60:F60"/>
    <mergeCell ref="G60:J60"/>
    <mergeCell ref="K60:N60"/>
    <mergeCell ref="O60:Q60"/>
    <mergeCell ref="R60:S60"/>
    <mergeCell ref="T60:U60"/>
    <mergeCell ref="V60:W60"/>
    <mergeCell ref="X60:Y60"/>
    <mergeCell ref="C61:F61"/>
    <mergeCell ref="G61:J61"/>
    <mergeCell ref="K61:N61"/>
    <mergeCell ref="O61:Q61"/>
    <mergeCell ref="R61:S61"/>
    <mergeCell ref="T61:U61"/>
    <mergeCell ref="V61:W61"/>
    <mergeCell ref="X61:Y61"/>
    <mergeCell ref="C63:F63"/>
    <mergeCell ref="G63:J63"/>
    <mergeCell ref="K63:W63"/>
    <mergeCell ref="C57:F57"/>
    <mergeCell ref="G57:J57"/>
    <mergeCell ref="K57:N57"/>
    <mergeCell ref="O57:Q57"/>
    <mergeCell ref="R57:S57"/>
    <mergeCell ref="T57:U57"/>
    <mergeCell ref="V57:W57"/>
    <mergeCell ref="X57:Y57"/>
    <mergeCell ref="C58:F58"/>
    <mergeCell ref="G58:J58"/>
    <mergeCell ref="K58:N58"/>
    <mergeCell ref="O58:Q58"/>
    <mergeCell ref="R58:S58"/>
    <mergeCell ref="T58:U58"/>
    <mergeCell ref="V58:W58"/>
    <mergeCell ref="X58:Y58"/>
    <mergeCell ref="C59:F59"/>
    <mergeCell ref="G59:J59"/>
    <mergeCell ref="K59:N59"/>
    <mergeCell ref="O59:Q59"/>
    <mergeCell ref="R59:S59"/>
    <mergeCell ref="T59:U59"/>
    <mergeCell ref="V59:W59"/>
    <mergeCell ref="X59:Y59"/>
    <mergeCell ref="C54:F54"/>
    <mergeCell ref="G54:J54"/>
    <mergeCell ref="K54:N54"/>
    <mergeCell ref="O54:Q54"/>
    <mergeCell ref="R54:S54"/>
    <mergeCell ref="T54:U54"/>
    <mergeCell ref="V54:W54"/>
    <mergeCell ref="X54:Y54"/>
    <mergeCell ref="C55:F55"/>
    <mergeCell ref="G55:J55"/>
    <mergeCell ref="K55:N55"/>
    <mergeCell ref="O55:Q55"/>
    <mergeCell ref="R55:S55"/>
    <mergeCell ref="T55:U55"/>
    <mergeCell ref="V55:W55"/>
    <mergeCell ref="X55:Y55"/>
    <mergeCell ref="C56:F56"/>
    <mergeCell ref="G56:J56"/>
    <mergeCell ref="K56:N56"/>
    <mergeCell ref="O56:Q56"/>
    <mergeCell ref="R56:S56"/>
    <mergeCell ref="T56:U56"/>
    <mergeCell ref="V56:W56"/>
    <mergeCell ref="X56:Y56"/>
    <mergeCell ref="C50:F50"/>
    <mergeCell ref="G50:J50"/>
    <mergeCell ref="K50:N50"/>
    <mergeCell ref="O50:Q50"/>
    <mergeCell ref="R50:S50"/>
    <mergeCell ref="T50:U50"/>
    <mergeCell ref="V50:W50"/>
    <mergeCell ref="X50:Y50"/>
    <mergeCell ref="C52:F52"/>
    <mergeCell ref="G52:J52"/>
    <mergeCell ref="K52:W52"/>
    <mergeCell ref="C53:F53"/>
    <mergeCell ref="G53:J53"/>
    <mergeCell ref="K53:N53"/>
    <mergeCell ref="O53:Q53"/>
    <mergeCell ref="R53:S53"/>
    <mergeCell ref="T53:U53"/>
    <mergeCell ref="V53:W53"/>
    <mergeCell ref="X53:Y53"/>
    <mergeCell ref="C47:F47"/>
    <mergeCell ref="G47:J47"/>
    <mergeCell ref="K47:N47"/>
    <mergeCell ref="O47:Q47"/>
    <mergeCell ref="R47:S47"/>
    <mergeCell ref="T47:U47"/>
    <mergeCell ref="V47:W47"/>
    <mergeCell ref="X47:Y47"/>
    <mergeCell ref="C48:F48"/>
    <mergeCell ref="G48:J48"/>
    <mergeCell ref="K48:N48"/>
    <mergeCell ref="O48:Q48"/>
    <mergeCell ref="R48:S48"/>
    <mergeCell ref="T48:U48"/>
    <mergeCell ref="V48:W48"/>
    <mergeCell ref="X48:Y48"/>
    <mergeCell ref="C49:F49"/>
    <mergeCell ref="G49:J49"/>
    <mergeCell ref="K49:N49"/>
    <mergeCell ref="O49:Q49"/>
    <mergeCell ref="R49:S49"/>
    <mergeCell ref="T49:U49"/>
    <mergeCell ref="V49:W49"/>
    <mergeCell ref="X49:Y49"/>
    <mergeCell ref="C43:F43"/>
    <mergeCell ref="G43:J43"/>
    <mergeCell ref="K43:N43"/>
    <mergeCell ref="O43:Q43"/>
    <mergeCell ref="R43:S43"/>
    <mergeCell ref="T43:U43"/>
    <mergeCell ref="V43:W43"/>
    <mergeCell ref="X43:Y43"/>
    <mergeCell ref="C45:F45"/>
    <mergeCell ref="G45:J45"/>
    <mergeCell ref="K45:W45"/>
    <mergeCell ref="C46:F46"/>
    <mergeCell ref="G46:J46"/>
    <mergeCell ref="K46:N46"/>
    <mergeCell ref="O46:Q46"/>
    <mergeCell ref="R46:S46"/>
    <mergeCell ref="T46:U46"/>
    <mergeCell ref="V46:W46"/>
    <mergeCell ref="X46:Y46"/>
    <mergeCell ref="C40:F40"/>
    <mergeCell ref="G40:J40"/>
    <mergeCell ref="K40:N40"/>
    <mergeCell ref="O40:Q40"/>
    <mergeCell ref="R40:S40"/>
    <mergeCell ref="T40:U40"/>
    <mergeCell ref="V40:W40"/>
    <mergeCell ref="X40:Y40"/>
    <mergeCell ref="C41:F41"/>
    <mergeCell ref="G41:J41"/>
    <mergeCell ref="K41:N41"/>
    <mergeCell ref="O41:Q41"/>
    <mergeCell ref="R41:S41"/>
    <mergeCell ref="T41:U41"/>
    <mergeCell ref="V41:W41"/>
    <mergeCell ref="X41:Y41"/>
    <mergeCell ref="C42:F42"/>
    <mergeCell ref="G42:J42"/>
    <mergeCell ref="K42:N42"/>
    <mergeCell ref="O42:Q42"/>
    <mergeCell ref="R42:S42"/>
    <mergeCell ref="T42:U42"/>
    <mergeCell ref="V42:W42"/>
    <mergeCell ref="X42:Y42"/>
    <mergeCell ref="C37:F37"/>
    <mergeCell ref="G37:J37"/>
    <mergeCell ref="K37:N37"/>
    <mergeCell ref="O37:Q37"/>
    <mergeCell ref="R37:S37"/>
    <mergeCell ref="T37:U37"/>
    <mergeCell ref="V37:W37"/>
    <mergeCell ref="X37:Y37"/>
    <mergeCell ref="C38:F38"/>
    <mergeCell ref="G38:J38"/>
    <mergeCell ref="K38:N38"/>
    <mergeCell ref="O38:Q38"/>
    <mergeCell ref="R38:S38"/>
    <mergeCell ref="T38:U38"/>
    <mergeCell ref="V38:W38"/>
    <mergeCell ref="X38:Y38"/>
    <mergeCell ref="C39:F39"/>
    <mergeCell ref="G39:J39"/>
    <mergeCell ref="K39:N39"/>
    <mergeCell ref="O39:Q39"/>
    <mergeCell ref="R39:S39"/>
    <mergeCell ref="T39:U39"/>
    <mergeCell ref="V39:W39"/>
    <mergeCell ref="X39:Y39"/>
    <mergeCell ref="C33:F33"/>
    <mergeCell ref="G33:J33"/>
    <mergeCell ref="K33:N33"/>
    <mergeCell ref="O33:Q33"/>
    <mergeCell ref="R33:S33"/>
    <mergeCell ref="T33:U33"/>
    <mergeCell ref="V33:W33"/>
    <mergeCell ref="X33:Y33"/>
    <mergeCell ref="C35:F35"/>
    <mergeCell ref="G35:J35"/>
    <mergeCell ref="K35:W35"/>
    <mergeCell ref="C36:F36"/>
    <mergeCell ref="G36:J36"/>
    <mergeCell ref="K36:N36"/>
    <mergeCell ref="O36:Q36"/>
    <mergeCell ref="R36:S36"/>
    <mergeCell ref="T36:U36"/>
    <mergeCell ref="V36:W36"/>
    <mergeCell ref="X36:Y36"/>
    <mergeCell ref="C30:F30"/>
    <mergeCell ref="G30:J30"/>
    <mergeCell ref="K30:N30"/>
    <mergeCell ref="O30:Q30"/>
    <mergeCell ref="R30:S30"/>
    <mergeCell ref="T30:U30"/>
    <mergeCell ref="V30:W30"/>
    <mergeCell ref="X30:Y30"/>
    <mergeCell ref="C31:F31"/>
    <mergeCell ref="G31:J31"/>
    <mergeCell ref="K31:N31"/>
    <mergeCell ref="O31:Q31"/>
    <mergeCell ref="R31:S31"/>
    <mergeCell ref="T31:U31"/>
    <mergeCell ref="V31:W31"/>
    <mergeCell ref="X31:Y31"/>
    <mergeCell ref="C32:F32"/>
    <mergeCell ref="G32:J32"/>
    <mergeCell ref="K32:N32"/>
    <mergeCell ref="O32:Q32"/>
    <mergeCell ref="R32:S32"/>
    <mergeCell ref="T32:U32"/>
    <mergeCell ref="V32:W32"/>
    <mergeCell ref="X32:Y32"/>
    <mergeCell ref="C27:F27"/>
    <mergeCell ref="G27:J27"/>
    <mergeCell ref="K27:N27"/>
    <mergeCell ref="O27:Q27"/>
    <mergeCell ref="R27:S27"/>
    <mergeCell ref="T27:U27"/>
    <mergeCell ref="V27:W27"/>
    <mergeCell ref="X27:Y27"/>
    <mergeCell ref="C28:F28"/>
    <mergeCell ref="G28:J28"/>
    <mergeCell ref="K28:N28"/>
    <mergeCell ref="O28:Q28"/>
    <mergeCell ref="R28:S28"/>
    <mergeCell ref="T28:U28"/>
    <mergeCell ref="V28:W28"/>
    <mergeCell ref="X28:Y28"/>
    <mergeCell ref="C29:F29"/>
    <mergeCell ref="G29:J29"/>
    <mergeCell ref="K29:N29"/>
    <mergeCell ref="O29:Q29"/>
    <mergeCell ref="R29:S29"/>
    <mergeCell ref="T29:U29"/>
    <mergeCell ref="V29:W29"/>
    <mergeCell ref="X29:Y29"/>
    <mergeCell ref="C24:F24"/>
    <mergeCell ref="G24:J24"/>
    <mergeCell ref="K24:N24"/>
    <mergeCell ref="O24:Q24"/>
    <mergeCell ref="R24:S24"/>
    <mergeCell ref="T24:U24"/>
    <mergeCell ref="V24:W24"/>
    <mergeCell ref="X24:Y24"/>
    <mergeCell ref="C25:F25"/>
    <mergeCell ref="G25:J25"/>
    <mergeCell ref="K25:N25"/>
    <mergeCell ref="O25:Q25"/>
    <mergeCell ref="R25:S25"/>
    <mergeCell ref="T25:U25"/>
    <mergeCell ref="V25:W25"/>
    <mergeCell ref="X25:Y25"/>
    <mergeCell ref="C26:F26"/>
    <mergeCell ref="G26:J26"/>
    <mergeCell ref="K26:N26"/>
    <mergeCell ref="O26:Q26"/>
    <mergeCell ref="R26:S26"/>
    <mergeCell ref="T26:U26"/>
    <mergeCell ref="V26:W26"/>
    <mergeCell ref="X26:Y26"/>
    <mergeCell ref="C21:F21"/>
    <mergeCell ref="G21:J21"/>
    <mergeCell ref="K21:N21"/>
    <mergeCell ref="O21:Q21"/>
    <mergeCell ref="R21:S21"/>
    <mergeCell ref="T21:U21"/>
    <mergeCell ref="V21:W21"/>
    <mergeCell ref="X21:Y21"/>
    <mergeCell ref="C22:F22"/>
    <mergeCell ref="G22:J22"/>
    <mergeCell ref="K22:N22"/>
    <mergeCell ref="O22:Q22"/>
    <mergeCell ref="R22:S22"/>
    <mergeCell ref="T22:U22"/>
    <mergeCell ref="V22:W22"/>
    <mergeCell ref="X22:Y22"/>
    <mergeCell ref="C23:F23"/>
    <mergeCell ref="G23:J23"/>
    <mergeCell ref="K23:N23"/>
    <mergeCell ref="O23:Q23"/>
    <mergeCell ref="R23:S23"/>
    <mergeCell ref="T23:U23"/>
    <mergeCell ref="V23:W23"/>
    <mergeCell ref="X23:Y23"/>
    <mergeCell ref="C17:F17"/>
    <mergeCell ref="G17:J17"/>
    <mergeCell ref="K17:N17"/>
    <mergeCell ref="O17:Q17"/>
    <mergeCell ref="R17:S17"/>
    <mergeCell ref="T17:U17"/>
    <mergeCell ref="V17:W17"/>
    <mergeCell ref="X17:Y17"/>
    <mergeCell ref="C18:F18"/>
    <mergeCell ref="G18:J18"/>
    <mergeCell ref="K18:N18"/>
    <mergeCell ref="O18:Q18"/>
    <mergeCell ref="R18:S18"/>
    <mergeCell ref="T18:U18"/>
    <mergeCell ref="V18:W18"/>
    <mergeCell ref="X18:Y18"/>
    <mergeCell ref="C20:F20"/>
    <mergeCell ref="G20:J20"/>
    <mergeCell ref="K20:W20"/>
    <mergeCell ref="C14:F14"/>
    <mergeCell ref="G14:J14"/>
    <mergeCell ref="K14:N14"/>
    <mergeCell ref="O14:Q14"/>
    <mergeCell ref="R14:S14"/>
    <mergeCell ref="T14:U14"/>
    <mergeCell ref="V14:W14"/>
    <mergeCell ref="X14:Y14"/>
    <mergeCell ref="C15:F15"/>
    <mergeCell ref="G15:J15"/>
    <mergeCell ref="K15:N15"/>
    <mergeCell ref="O15:Q15"/>
    <mergeCell ref="R15:S15"/>
    <mergeCell ref="T15:U15"/>
    <mergeCell ref="V15:W15"/>
    <mergeCell ref="X15:Y15"/>
    <mergeCell ref="C16:F16"/>
    <mergeCell ref="G16:J16"/>
    <mergeCell ref="K16:N16"/>
    <mergeCell ref="O16:Q16"/>
    <mergeCell ref="R16:S16"/>
    <mergeCell ref="T16:U16"/>
    <mergeCell ref="V16:W16"/>
    <mergeCell ref="X16:Y16"/>
    <mergeCell ref="C9:F9"/>
    <mergeCell ref="G9:J9"/>
    <mergeCell ref="K9:N9"/>
    <mergeCell ref="O9:Q9"/>
    <mergeCell ref="R9:S9"/>
    <mergeCell ref="T9:U9"/>
    <mergeCell ref="V9:W9"/>
    <mergeCell ref="X9:Y9"/>
    <mergeCell ref="A10:Y10"/>
    <mergeCell ref="C12:F12"/>
    <mergeCell ref="G12:J12"/>
    <mergeCell ref="K12:W12"/>
    <mergeCell ref="C13:F13"/>
    <mergeCell ref="G13:J13"/>
    <mergeCell ref="K13:N13"/>
    <mergeCell ref="O13:Q13"/>
    <mergeCell ref="R13:S13"/>
    <mergeCell ref="T13:U13"/>
    <mergeCell ref="V13:W13"/>
    <mergeCell ref="X13:Y13"/>
    <mergeCell ref="C6:F6"/>
    <mergeCell ref="G6:J6"/>
    <mergeCell ref="K6:N6"/>
    <mergeCell ref="O6:Q6"/>
    <mergeCell ref="R6:S6"/>
    <mergeCell ref="T6:U6"/>
    <mergeCell ref="V6:W6"/>
    <mergeCell ref="X6:Y6"/>
    <mergeCell ref="C7:F7"/>
    <mergeCell ref="G7:J7"/>
    <mergeCell ref="K7:N7"/>
    <mergeCell ref="O7:Q7"/>
    <mergeCell ref="R7:S7"/>
    <mergeCell ref="T7:U7"/>
    <mergeCell ref="V7:W7"/>
    <mergeCell ref="X7:Y7"/>
    <mergeCell ref="C8:F8"/>
    <mergeCell ref="G8:J8"/>
    <mergeCell ref="K8:N8"/>
    <mergeCell ref="O8:Q8"/>
    <mergeCell ref="R8:S8"/>
    <mergeCell ref="T8:U8"/>
    <mergeCell ref="V8:W8"/>
    <mergeCell ref="X8:Y8"/>
    <mergeCell ref="A1:Y1"/>
    <mergeCell ref="C3:F3"/>
    <mergeCell ref="G3:J3"/>
    <mergeCell ref="K3:W3"/>
    <mergeCell ref="C4:F4"/>
    <mergeCell ref="G4:J4"/>
    <mergeCell ref="K4:N4"/>
    <mergeCell ref="O4:Q4"/>
    <mergeCell ref="R4:S4"/>
    <mergeCell ref="T4:U4"/>
    <mergeCell ref="V4:W4"/>
    <mergeCell ref="X4:Y4"/>
    <mergeCell ref="C5:F5"/>
    <mergeCell ref="G5:J5"/>
    <mergeCell ref="K5:N5"/>
    <mergeCell ref="O5:Q5"/>
    <mergeCell ref="R5:S5"/>
    <mergeCell ref="T5:U5"/>
    <mergeCell ref="V5:W5"/>
    <mergeCell ref="X5:Y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Tipos de Dato</vt:lpstr>
      <vt:lpstr>Invetario de Tablas</vt:lpstr>
      <vt:lpstr>Diccionario Datos - PostgreSQL</vt:lpstr>
      <vt:lpstr>Diccionario Datos - MySQL</vt:lpstr>
      <vt:lpstr>Diccionario Datos - MS SQL Serv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Jacqueline Maya Obando</cp:lastModifiedBy>
  <cp:revision>0</cp:revision>
  <dcterms:created xsi:type="dcterms:W3CDTF">2026-10-13T04:05:55Z</dcterms:created>
  <dcterms:modified xsi:type="dcterms:W3CDTF">2026-10-14T04:02:53Z</dcterms:modified>
  <dc:language>en-US</dc:language>
</cp:coreProperties>
</file>